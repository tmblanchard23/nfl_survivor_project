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thomasblanchard/Desktop/NFL Survivor Project/"/>
    </mc:Choice>
  </mc:AlternateContent>
  <xr:revisionPtr revIDLastSave="0" documentId="13_ncr:1_{19DC34E7-7318-674B-AD83-CA84B02C97B6}" xr6:coauthVersionLast="47" xr6:coauthVersionMax="47" xr10:uidLastSave="{00000000-0000-0000-0000-000000000000}"/>
  <bookViews>
    <workbookView xWindow="0" yWindow="760" windowWidth="30240" windowHeight="17780" firstSheet="1" activeTab="2" xr2:uid="{00000000-000D-0000-FFFF-FFFF00000000}"/>
  </bookViews>
  <sheets>
    <sheet name="Recommendation" sheetId="1" r:id="rId1"/>
    <sheet name="Pool Data --&gt;" sheetId="2" r:id="rId2"/>
    <sheet name="Pools Picks" sheetId="3" r:id="rId3"/>
    <sheet name="Algorithm Inputs --&gt;" sheetId="4" r:id="rId4"/>
    <sheet name="Algorithm Game Lines" sheetId="5" r:id="rId5"/>
    <sheet name="Super Bowl Futures" sheetId="6" r:id="rId6"/>
    <sheet name="Preseason Win Totals" sheetId="7" r:id="rId7"/>
    <sheet name="ArchiveStorage --&gt;" sheetId="8" r:id="rId8"/>
    <sheet name="2026 Schedule" sheetId="9" r:id="rId9"/>
    <sheet name="Game Lines" sheetId="10" r:id="rId10"/>
    <sheet name="Week Lookup Table" sheetId="11" r:id="rId11"/>
    <sheet name="Preserved Week 1 Full Season Li" sheetId="12" r:id="rId12"/>
    <sheet name="Run #1 Output" sheetId="13" r:id="rId13"/>
    <sheet name="Preserved Week 2 Line Export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7" i="11" l="1"/>
  <c r="A118" i="11" s="1"/>
  <c r="A119" i="11" s="1"/>
  <c r="A120" i="11" s="1"/>
  <c r="A121" i="11" s="1"/>
  <c r="A122" i="11" s="1"/>
  <c r="A123" i="11" s="1"/>
  <c r="A124" i="11" s="1"/>
  <c r="A125" i="11" s="1"/>
  <c r="A126" i="11" s="1"/>
  <c r="A127" i="11" s="1"/>
  <c r="B20" i="11"/>
  <c r="B27" i="11" s="1"/>
  <c r="B34" i="11" s="1"/>
  <c r="B41" i="11" s="1"/>
  <c r="B48" i="11" s="1"/>
  <c r="B55" i="11" s="1"/>
  <c r="B62" i="11" s="1"/>
  <c r="B69" i="11" s="1"/>
  <c r="B76" i="11" s="1"/>
  <c r="B83" i="11" s="1"/>
  <c r="B90" i="11" s="1"/>
  <c r="B97" i="11" s="1"/>
  <c r="B104" i="11" s="1"/>
  <c r="B111" i="11" s="1"/>
  <c r="B118" i="11" s="1"/>
  <c r="B125" i="11" s="1"/>
  <c r="B16" i="11"/>
  <c r="B23" i="11" s="1"/>
  <c r="B30" i="11" s="1"/>
  <c r="B37" i="11" s="1"/>
  <c r="B44" i="11" s="1"/>
  <c r="B51" i="11" s="1"/>
  <c r="B58" i="11" s="1"/>
  <c r="B65" i="11" s="1"/>
  <c r="B72" i="11" s="1"/>
  <c r="B79" i="11" s="1"/>
  <c r="B86" i="11" s="1"/>
  <c r="B93" i="11" s="1"/>
  <c r="B100" i="11" s="1"/>
  <c r="B107" i="11" s="1"/>
  <c r="B114" i="11" s="1"/>
  <c r="B121" i="11" s="1"/>
  <c r="B15" i="11"/>
  <c r="B22" i="11" s="1"/>
  <c r="B29" i="11" s="1"/>
  <c r="B36" i="11" s="1"/>
  <c r="B43" i="11" s="1"/>
  <c r="B50" i="11" s="1"/>
  <c r="B57" i="11" s="1"/>
  <c r="B64" i="11" s="1"/>
  <c r="B71" i="11" s="1"/>
  <c r="B78" i="11" s="1"/>
  <c r="B85" i="11" s="1"/>
  <c r="B92" i="11" s="1"/>
  <c r="B99" i="11" s="1"/>
  <c r="B106" i="11" s="1"/>
  <c r="B113" i="11" s="1"/>
  <c r="B120" i="11" s="1"/>
  <c r="B127" i="11" s="1"/>
  <c r="B14" i="11"/>
  <c r="B21" i="11" s="1"/>
  <c r="B28" i="11" s="1"/>
  <c r="B35" i="11" s="1"/>
  <c r="B42" i="11" s="1"/>
  <c r="B49" i="11" s="1"/>
  <c r="B56" i="11" s="1"/>
  <c r="B63" i="11" s="1"/>
  <c r="B70" i="11" s="1"/>
  <c r="B77" i="11" s="1"/>
  <c r="B84" i="11" s="1"/>
  <c r="B91" i="11" s="1"/>
  <c r="B98" i="11" s="1"/>
  <c r="B105" i="11" s="1"/>
  <c r="B112" i="11" s="1"/>
  <c r="B119" i="11" s="1"/>
  <c r="B126" i="11" s="1"/>
  <c r="B13" i="11"/>
  <c r="B12" i="11"/>
  <c r="B19" i="11" s="1"/>
  <c r="B26" i="11" s="1"/>
  <c r="B33" i="11" s="1"/>
  <c r="B40" i="11" s="1"/>
  <c r="B47" i="11" s="1"/>
  <c r="B54" i="11" s="1"/>
  <c r="B61" i="11" s="1"/>
  <c r="B68" i="11" s="1"/>
  <c r="B75" i="11" s="1"/>
  <c r="B82" i="11" s="1"/>
  <c r="B89" i="11" s="1"/>
  <c r="B96" i="11" s="1"/>
  <c r="B103" i="11" s="1"/>
  <c r="B110" i="11" s="1"/>
  <c r="B117" i="11" s="1"/>
  <c r="B124" i="11" s="1"/>
  <c r="B11" i="11"/>
  <c r="B18" i="11" s="1"/>
  <c r="B25" i="11" s="1"/>
  <c r="B32" i="11" s="1"/>
  <c r="B39" i="11" s="1"/>
  <c r="B46" i="11" s="1"/>
  <c r="B53" i="11" s="1"/>
  <c r="B60" i="11" s="1"/>
  <c r="B67" i="11" s="1"/>
  <c r="B74" i="11" s="1"/>
  <c r="B81" i="11" s="1"/>
  <c r="B88" i="11" s="1"/>
  <c r="B95" i="11" s="1"/>
  <c r="B102" i="11" s="1"/>
  <c r="B109" i="11" s="1"/>
  <c r="B116" i="11" s="1"/>
  <c r="B123" i="11" s="1"/>
  <c r="B10" i="11"/>
  <c r="B17" i="11" s="1"/>
  <c r="B24" i="11" s="1"/>
  <c r="B31" i="11" s="1"/>
  <c r="B38" i="11" s="1"/>
  <c r="B45" i="11" s="1"/>
  <c r="B52" i="11" s="1"/>
  <c r="B59" i="11" s="1"/>
  <c r="B66" i="11" s="1"/>
  <c r="B73" i="11" s="1"/>
  <c r="B80" i="11" s="1"/>
  <c r="B87" i="11" s="1"/>
  <c r="B94" i="11" s="1"/>
  <c r="B101" i="11" s="1"/>
  <c r="B108" i="11" s="1"/>
  <c r="B115" i="11" s="1"/>
  <c r="B122" i="11" s="1"/>
  <c r="B9" i="11"/>
  <c r="A3" i="11"/>
  <c r="A4" i="11" s="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  <c r="A110" i="11" s="1"/>
  <c r="A111" i="11" s="1"/>
  <c r="A112" i="11" s="1"/>
  <c r="A113" i="11" s="1"/>
  <c r="A114" i="11" s="1"/>
  <c r="A115" i="11" s="1"/>
  <c r="L274" i="5"/>
  <c r="K274" i="5"/>
  <c r="J274" i="5"/>
  <c r="I274" i="5"/>
  <c r="H274" i="5"/>
  <c r="G274" i="5"/>
  <c r="F274" i="5"/>
  <c r="E274" i="5"/>
  <c r="D274" i="5"/>
  <c r="C274" i="5"/>
  <c r="B274" i="5"/>
  <c r="A274" i="5"/>
  <c r="L273" i="5"/>
  <c r="K273" i="5"/>
  <c r="J273" i="5"/>
  <c r="I273" i="5"/>
  <c r="H273" i="5"/>
  <c r="G273" i="5"/>
  <c r="F273" i="5"/>
  <c r="E273" i="5"/>
  <c r="D273" i="5"/>
  <c r="C273" i="5"/>
  <c r="B273" i="5"/>
  <c r="A273" i="5"/>
  <c r="L272" i="5"/>
  <c r="K272" i="5" a="1"/>
  <c r="K272" i="5" s="1"/>
  <c r="J272" i="5"/>
  <c r="I272" i="5"/>
  <c r="H272" i="5"/>
  <c r="G272" i="5"/>
  <c r="F272" i="5"/>
  <c r="E272" i="5"/>
  <c r="D272" i="5"/>
  <c r="C272" i="5"/>
  <c r="B272" i="5"/>
  <c r="A272" i="5"/>
  <c r="L271" i="5"/>
  <c r="J271" i="5"/>
  <c r="I271" i="5"/>
  <c r="H271" i="5"/>
  <c r="G271" i="5"/>
  <c r="F271" i="5"/>
  <c r="E271" i="5"/>
  <c r="D271" i="5"/>
  <c r="C271" i="5"/>
  <c r="B271" i="5"/>
  <c r="A271" i="5"/>
  <c r="K271" i="5" s="1" a="1"/>
  <c r="K271" i="5" s="1"/>
  <c r="L270" i="5"/>
  <c r="J270" i="5"/>
  <c r="I270" i="5"/>
  <c r="H270" i="5"/>
  <c r="G270" i="5"/>
  <c r="F270" i="5"/>
  <c r="E270" i="5"/>
  <c r="D270" i="5"/>
  <c r="C270" i="5"/>
  <c r="B270" i="5"/>
  <c r="A270" i="5"/>
  <c r="K270" i="5" s="1" a="1"/>
  <c r="K270" i="5" s="1"/>
  <c r="L269" i="5"/>
  <c r="K269" i="5" a="1"/>
  <c r="K269" i="5"/>
  <c r="J269" i="5"/>
  <c r="I269" i="5"/>
  <c r="H269" i="5"/>
  <c r="G269" i="5"/>
  <c r="F269" i="5"/>
  <c r="E269" i="5"/>
  <c r="D269" i="5"/>
  <c r="C269" i="5"/>
  <c r="B269" i="5"/>
  <c r="A269" i="5"/>
  <c r="L268" i="5"/>
  <c r="J268" i="5"/>
  <c r="I268" i="5"/>
  <c r="H268" i="5"/>
  <c r="G268" i="5"/>
  <c r="F268" i="5"/>
  <c r="E268" i="5"/>
  <c r="D268" i="5"/>
  <c r="C268" i="5"/>
  <c r="B268" i="5"/>
  <c r="A268" i="5"/>
  <c r="K268" i="5" s="1" a="1"/>
  <c r="K268" i="5" s="1"/>
  <c r="L267" i="5"/>
  <c r="J267" i="5"/>
  <c r="I267" i="5"/>
  <c r="H267" i="5"/>
  <c r="G267" i="5"/>
  <c r="F267" i="5"/>
  <c r="E267" i="5"/>
  <c r="D267" i="5"/>
  <c r="C267" i="5"/>
  <c r="B267" i="5"/>
  <c r="A267" i="5"/>
  <c r="K267" i="5" s="1" a="1"/>
  <c r="K267" i="5" s="1"/>
  <c r="L266" i="5"/>
  <c r="K266" i="5" a="1"/>
  <c r="K266" i="5"/>
  <c r="J266" i="5"/>
  <c r="I266" i="5"/>
  <c r="H266" i="5"/>
  <c r="G266" i="5"/>
  <c r="F266" i="5"/>
  <c r="E266" i="5"/>
  <c r="D266" i="5"/>
  <c r="C266" i="5"/>
  <c r="B266" i="5"/>
  <c r="A266" i="5"/>
  <c r="L265" i="5"/>
  <c r="J265" i="5"/>
  <c r="I265" i="5"/>
  <c r="H265" i="5"/>
  <c r="G265" i="5"/>
  <c r="F265" i="5"/>
  <c r="E265" i="5"/>
  <c r="D265" i="5"/>
  <c r="C265" i="5"/>
  <c r="B265" i="5"/>
  <c r="A265" i="5"/>
  <c r="K265" i="5" s="1" a="1"/>
  <c r="K265" i="5" s="1"/>
  <c r="L264" i="5"/>
  <c r="K264" i="5" a="1"/>
  <c r="K264" i="5" s="1"/>
  <c r="J264" i="5"/>
  <c r="I264" i="5"/>
  <c r="H264" i="5"/>
  <c r="G264" i="5"/>
  <c r="F264" i="5"/>
  <c r="E264" i="5"/>
  <c r="D264" i="5"/>
  <c r="C264" i="5"/>
  <c r="B264" i="5"/>
  <c r="A264" i="5"/>
  <c r="L263" i="5"/>
  <c r="J263" i="5"/>
  <c r="I263" i="5"/>
  <c r="H263" i="5"/>
  <c r="G263" i="5"/>
  <c r="F263" i="5"/>
  <c r="E263" i="5"/>
  <c r="D263" i="5"/>
  <c r="C263" i="5"/>
  <c r="B263" i="5"/>
  <c r="A263" i="5"/>
  <c r="K263" i="5" s="1" a="1"/>
  <c r="K263" i="5" s="1"/>
  <c r="L262" i="5"/>
  <c r="J262" i="5"/>
  <c r="I262" i="5"/>
  <c r="H262" i="5"/>
  <c r="G262" i="5"/>
  <c r="F262" i="5"/>
  <c r="E262" i="5"/>
  <c r="D262" i="5"/>
  <c r="C262" i="5"/>
  <c r="B262" i="5"/>
  <c r="A262" i="5"/>
  <c r="K262" i="5" s="1" a="1"/>
  <c r="K262" i="5" s="1"/>
  <c r="L261" i="5"/>
  <c r="K261" i="5" a="1"/>
  <c r="K261" i="5"/>
  <c r="J261" i="5"/>
  <c r="I261" i="5"/>
  <c r="H261" i="5"/>
  <c r="G261" i="5"/>
  <c r="F261" i="5"/>
  <c r="E261" i="5"/>
  <c r="D261" i="5"/>
  <c r="C261" i="5"/>
  <c r="B261" i="5"/>
  <c r="A261" i="5"/>
  <c r="L260" i="5"/>
  <c r="J260" i="5"/>
  <c r="I260" i="5"/>
  <c r="H260" i="5"/>
  <c r="G260" i="5"/>
  <c r="F260" i="5"/>
  <c r="E260" i="5"/>
  <c r="D260" i="5"/>
  <c r="C260" i="5"/>
  <c r="B260" i="5"/>
  <c r="A260" i="5"/>
  <c r="K260" i="5" s="1" a="1"/>
  <c r="K260" i="5" s="1"/>
  <c r="L259" i="5"/>
  <c r="J259" i="5"/>
  <c r="I259" i="5"/>
  <c r="H259" i="5"/>
  <c r="G259" i="5"/>
  <c r="F259" i="5"/>
  <c r="E259" i="5"/>
  <c r="D259" i="5"/>
  <c r="C259" i="5"/>
  <c r="B259" i="5"/>
  <c r="A259" i="5"/>
  <c r="K259" i="5" s="1" a="1"/>
  <c r="K259" i="5" s="1"/>
  <c r="L258" i="5"/>
  <c r="K258" i="5" a="1"/>
  <c r="K258" i="5"/>
  <c r="J258" i="5"/>
  <c r="I258" i="5"/>
  <c r="H258" i="5"/>
  <c r="G258" i="5"/>
  <c r="F258" i="5"/>
  <c r="E258" i="5"/>
  <c r="D258" i="5"/>
  <c r="C258" i="5"/>
  <c r="B258" i="5"/>
  <c r="A258" i="5"/>
  <c r="L257" i="5"/>
  <c r="J257" i="5"/>
  <c r="I257" i="5"/>
  <c r="H257" i="5"/>
  <c r="G257" i="5"/>
  <c r="F257" i="5"/>
  <c r="E257" i="5"/>
  <c r="D257" i="5"/>
  <c r="C257" i="5"/>
  <c r="B257" i="5"/>
  <c r="A257" i="5"/>
  <c r="K257" i="5" s="1" a="1"/>
  <c r="K257" i="5" s="1"/>
  <c r="L256" i="5"/>
  <c r="K256" i="5" a="1"/>
  <c r="K256" i="5" s="1"/>
  <c r="J256" i="5"/>
  <c r="I256" i="5"/>
  <c r="H256" i="5"/>
  <c r="G256" i="5"/>
  <c r="F256" i="5"/>
  <c r="E256" i="5"/>
  <c r="D256" i="5"/>
  <c r="C256" i="5"/>
  <c r="B256" i="5"/>
  <c r="A256" i="5"/>
  <c r="L255" i="5"/>
  <c r="J255" i="5"/>
  <c r="I255" i="5"/>
  <c r="H255" i="5"/>
  <c r="G255" i="5"/>
  <c r="F255" i="5"/>
  <c r="E255" i="5"/>
  <c r="D255" i="5"/>
  <c r="C255" i="5"/>
  <c r="B255" i="5"/>
  <c r="A255" i="5"/>
  <c r="K255" i="5" s="1" a="1"/>
  <c r="K255" i="5" s="1"/>
  <c r="L254" i="5"/>
  <c r="J254" i="5"/>
  <c r="I254" i="5"/>
  <c r="H254" i="5"/>
  <c r="G254" i="5"/>
  <c r="F254" i="5"/>
  <c r="E254" i="5"/>
  <c r="D254" i="5"/>
  <c r="C254" i="5"/>
  <c r="B254" i="5"/>
  <c r="A254" i="5"/>
  <c r="K254" i="5" s="1" a="1"/>
  <c r="K254" i="5" s="1"/>
  <c r="L253" i="5"/>
  <c r="K253" i="5" a="1"/>
  <c r="K253" i="5"/>
  <c r="J253" i="5"/>
  <c r="I253" i="5"/>
  <c r="H253" i="5"/>
  <c r="G253" i="5"/>
  <c r="F253" i="5"/>
  <c r="E253" i="5"/>
  <c r="D253" i="5"/>
  <c r="C253" i="5"/>
  <c r="B253" i="5"/>
  <c r="A253" i="5"/>
  <c r="L252" i="5"/>
  <c r="J252" i="5"/>
  <c r="I252" i="5"/>
  <c r="H252" i="5"/>
  <c r="G252" i="5"/>
  <c r="F252" i="5"/>
  <c r="E252" i="5"/>
  <c r="D252" i="5"/>
  <c r="C252" i="5"/>
  <c r="B252" i="5"/>
  <c r="A252" i="5"/>
  <c r="K252" i="5" s="1" a="1"/>
  <c r="K252" i="5" s="1"/>
  <c r="L251" i="5"/>
  <c r="J251" i="5"/>
  <c r="I251" i="5"/>
  <c r="H251" i="5"/>
  <c r="G251" i="5"/>
  <c r="F251" i="5"/>
  <c r="E251" i="5"/>
  <c r="D251" i="5"/>
  <c r="C251" i="5"/>
  <c r="B251" i="5"/>
  <c r="A251" i="5"/>
  <c r="K251" i="5" s="1" a="1"/>
  <c r="K251" i="5" s="1"/>
  <c r="L250" i="5"/>
  <c r="K250" i="5" a="1"/>
  <c r="K250" i="5"/>
  <c r="J250" i="5"/>
  <c r="I250" i="5"/>
  <c r="H250" i="5"/>
  <c r="G250" i="5"/>
  <c r="F250" i="5"/>
  <c r="E250" i="5"/>
  <c r="D250" i="5"/>
  <c r="C250" i="5"/>
  <c r="B250" i="5"/>
  <c r="A250" i="5"/>
  <c r="L249" i="5"/>
  <c r="J249" i="5"/>
  <c r="I249" i="5"/>
  <c r="H249" i="5"/>
  <c r="G249" i="5"/>
  <c r="F249" i="5"/>
  <c r="E249" i="5"/>
  <c r="D249" i="5"/>
  <c r="C249" i="5"/>
  <c r="B249" i="5"/>
  <c r="A249" i="5"/>
  <c r="K249" i="5" s="1" a="1"/>
  <c r="K249" i="5" s="1"/>
  <c r="L248" i="5"/>
  <c r="K248" i="5" a="1"/>
  <c r="K248" i="5" s="1"/>
  <c r="J248" i="5"/>
  <c r="I248" i="5"/>
  <c r="H248" i="5"/>
  <c r="G248" i="5"/>
  <c r="F248" i="5"/>
  <c r="E248" i="5"/>
  <c r="D248" i="5"/>
  <c r="C248" i="5"/>
  <c r="B248" i="5"/>
  <c r="A248" i="5"/>
  <c r="L247" i="5"/>
  <c r="J247" i="5"/>
  <c r="I247" i="5"/>
  <c r="H247" i="5"/>
  <c r="G247" i="5"/>
  <c r="F247" i="5"/>
  <c r="E247" i="5"/>
  <c r="D247" i="5"/>
  <c r="C247" i="5"/>
  <c r="B247" i="5"/>
  <c r="A247" i="5"/>
  <c r="K247" i="5" s="1" a="1"/>
  <c r="K247" i="5" s="1"/>
  <c r="L246" i="5"/>
  <c r="J246" i="5"/>
  <c r="I246" i="5"/>
  <c r="H246" i="5"/>
  <c r="G246" i="5"/>
  <c r="F246" i="5"/>
  <c r="E246" i="5"/>
  <c r="D246" i="5"/>
  <c r="C246" i="5"/>
  <c r="B246" i="5"/>
  <c r="A246" i="5"/>
  <c r="K246" i="5" s="1" a="1"/>
  <c r="K246" i="5" s="1"/>
  <c r="L245" i="5"/>
  <c r="K245" i="5" a="1"/>
  <c r="K245" i="5"/>
  <c r="J245" i="5"/>
  <c r="I245" i="5"/>
  <c r="H245" i="5"/>
  <c r="G245" i="5"/>
  <c r="F245" i="5"/>
  <c r="E245" i="5"/>
  <c r="D245" i="5"/>
  <c r="C245" i="5"/>
  <c r="B245" i="5"/>
  <c r="A245" i="5"/>
  <c r="L244" i="5"/>
  <c r="J244" i="5"/>
  <c r="I244" i="5"/>
  <c r="H244" i="5"/>
  <c r="G244" i="5"/>
  <c r="F244" i="5"/>
  <c r="E244" i="5"/>
  <c r="D244" i="5"/>
  <c r="C244" i="5"/>
  <c r="B244" i="5"/>
  <c r="A244" i="5"/>
  <c r="K244" i="5" s="1" a="1"/>
  <c r="K244" i="5" s="1"/>
  <c r="L243" i="5"/>
  <c r="J243" i="5"/>
  <c r="I243" i="5"/>
  <c r="H243" i="5"/>
  <c r="G243" i="5"/>
  <c r="F243" i="5"/>
  <c r="E243" i="5"/>
  <c r="D243" i="5"/>
  <c r="C243" i="5"/>
  <c r="B243" i="5"/>
  <c r="A243" i="5"/>
  <c r="K243" i="5" s="1" a="1"/>
  <c r="K243" i="5" s="1"/>
  <c r="L242" i="5"/>
  <c r="K242" i="5" a="1"/>
  <c r="K242" i="5"/>
  <c r="J242" i="5"/>
  <c r="I242" i="5"/>
  <c r="H242" i="5"/>
  <c r="G242" i="5"/>
  <c r="F242" i="5"/>
  <c r="E242" i="5"/>
  <c r="D242" i="5"/>
  <c r="C242" i="5"/>
  <c r="B242" i="5"/>
  <c r="A242" i="5"/>
  <c r="L241" i="5"/>
  <c r="J241" i="5"/>
  <c r="I241" i="5"/>
  <c r="H241" i="5"/>
  <c r="G241" i="5"/>
  <c r="F241" i="5"/>
  <c r="E241" i="5"/>
  <c r="D241" i="5"/>
  <c r="C241" i="5"/>
  <c r="B241" i="5"/>
  <c r="A241" i="5"/>
  <c r="K241" i="5" s="1" a="1"/>
  <c r="K241" i="5" s="1"/>
  <c r="L240" i="5"/>
  <c r="K240" i="5" a="1"/>
  <c r="K240" i="5" s="1"/>
  <c r="J240" i="5"/>
  <c r="I240" i="5"/>
  <c r="H240" i="5"/>
  <c r="G240" i="5"/>
  <c r="F240" i="5"/>
  <c r="E240" i="5"/>
  <c r="D240" i="5"/>
  <c r="C240" i="5"/>
  <c r="B240" i="5"/>
  <c r="A240" i="5"/>
  <c r="L239" i="5"/>
  <c r="J239" i="5"/>
  <c r="I239" i="5"/>
  <c r="H239" i="5"/>
  <c r="G239" i="5"/>
  <c r="F239" i="5"/>
  <c r="E239" i="5"/>
  <c r="D239" i="5"/>
  <c r="C239" i="5"/>
  <c r="B239" i="5"/>
  <c r="A239" i="5"/>
  <c r="K239" i="5" s="1" a="1"/>
  <c r="K239" i="5" s="1"/>
  <c r="L238" i="5"/>
  <c r="J238" i="5"/>
  <c r="I238" i="5"/>
  <c r="H238" i="5"/>
  <c r="G238" i="5"/>
  <c r="F238" i="5"/>
  <c r="E238" i="5"/>
  <c r="D238" i="5"/>
  <c r="C238" i="5"/>
  <c r="B238" i="5"/>
  <c r="A238" i="5"/>
  <c r="K238" i="5" s="1" a="1"/>
  <c r="K238" i="5" s="1"/>
  <c r="L237" i="5"/>
  <c r="K237" i="5" a="1"/>
  <c r="K237" i="5"/>
  <c r="J237" i="5"/>
  <c r="I237" i="5"/>
  <c r="H237" i="5"/>
  <c r="G237" i="5"/>
  <c r="F237" i="5"/>
  <c r="E237" i="5"/>
  <c r="D237" i="5"/>
  <c r="C237" i="5"/>
  <c r="B237" i="5"/>
  <c r="A237" i="5"/>
  <c r="L236" i="5"/>
  <c r="J236" i="5"/>
  <c r="I236" i="5"/>
  <c r="H236" i="5"/>
  <c r="G236" i="5"/>
  <c r="F236" i="5"/>
  <c r="E236" i="5"/>
  <c r="D236" i="5"/>
  <c r="C236" i="5"/>
  <c r="B236" i="5"/>
  <c r="A236" i="5"/>
  <c r="K236" i="5" s="1" a="1"/>
  <c r="K236" i="5" s="1"/>
  <c r="L235" i="5"/>
  <c r="J235" i="5"/>
  <c r="I235" i="5"/>
  <c r="H235" i="5"/>
  <c r="G235" i="5"/>
  <c r="F235" i="5"/>
  <c r="E235" i="5"/>
  <c r="D235" i="5"/>
  <c r="C235" i="5"/>
  <c r="B235" i="5"/>
  <c r="A235" i="5"/>
  <c r="K235" i="5" s="1" a="1"/>
  <c r="K235" i="5" s="1"/>
  <c r="L234" i="5"/>
  <c r="K234" i="5" a="1"/>
  <c r="K234" i="5"/>
  <c r="J234" i="5"/>
  <c r="I234" i="5"/>
  <c r="H234" i="5"/>
  <c r="G234" i="5"/>
  <c r="F234" i="5"/>
  <c r="E234" i="5"/>
  <c r="D234" i="5"/>
  <c r="C234" i="5"/>
  <c r="B234" i="5"/>
  <c r="A234" i="5"/>
  <c r="L233" i="5"/>
  <c r="J233" i="5"/>
  <c r="I233" i="5"/>
  <c r="H233" i="5"/>
  <c r="G233" i="5"/>
  <c r="F233" i="5"/>
  <c r="E233" i="5"/>
  <c r="D233" i="5"/>
  <c r="C233" i="5"/>
  <c r="B233" i="5"/>
  <c r="A233" i="5"/>
  <c r="K233" i="5" s="1" a="1"/>
  <c r="K233" i="5" s="1"/>
  <c r="L232" i="5"/>
  <c r="K232" i="5" a="1"/>
  <c r="K232" i="5" s="1"/>
  <c r="J232" i="5"/>
  <c r="I232" i="5"/>
  <c r="H232" i="5"/>
  <c r="G232" i="5"/>
  <c r="F232" i="5"/>
  <c r="E232" i="5"/>
  <c r="D232" i="5"/>
  <c r="C232" i="5"/>
  <c r="B232" i="5"/>
  <c r="A232" i="5"/>
  <c r="L231" i="5"/>
  <c r="J231" i="5"/>
  <c r="I231" i="5"/>
  <c r="H231" i="5"/>
  <c r="G231" i="5"/>
  <c r="F231" i="5"/>
  <c r="E231" i="5"/>
  <c r="D231" i="5"/>
  <c r="C231" i="5"/>
  <c r="B231" i="5"/>
  <c r="A231" i="5"/>
  <c r="K231" i="5" s="1" a="1"/>
  <c r="K231" i="5" s="1"/>
  <c r="L230" i="5"/>
  <c r="J230" i="5"/>
  <c r="I230" i="5"/>
  <c r="H230" i="5"/>
  <c r="G230" i="5"/>
  <c r="F230" i="5"/>
  <c r="E230" i="5"/>
  <c r="D230" i="5"/>
  <c r="C230" i="5"/>
  <c r="B230" i="5"/>
  <c r="A230" i="5"/>
  <c r="K230" i="5" s="1" a="1"/>
  <c r="K230" i="5" s="1"/>
  <c r="L229" i="5"/>
  <c r="K229" i="5" a="1"/>
  <c r="K229" i="5"/>
  <c r="J229" i="5"/>
  <c r="I229" i="5"/>
  <c r="H229" i="5"/>
  <c r="G229" i="5"/>
  <c r="F229" i="5"/>
  <c r="E229" i="5"/>
  <c r="D229" i="5"/>
  <c r="C229" i="5"/>
  <c r="B229" i="5"/>
  <c r="A229" i="5"/>
  <c r="L228" i="5"/>
  <c r="J228" i="5"/>
  <c r="I228" i="5"/>
  <c r="H228" i="5"/>
  <c r="G228" i="5"/>
  <c r="F228" i="5"/>
  <c r="E228" i="5"/>
  <c r="D228" i="5"/>
  <c r="C228" i="5"/>
  <c r="B228" i="5"/>
  <c r="A228" i="5"/>
  <c r="K228" i="5" s="1" a="1"/>
  <c r="K228" i="5" s="1"/>
  <c r="L227" i="5"/>
  <c r="J227" i="5"/>
  <c r="I227" i="5"/>
  <c r="H227" i="5"/>
  <c r="G227" i="5"/>
  <c r="F227" i="5"/>
  <c r="E227" i="5"/>
  <c r="D227" i="5"/>
  <c r="C227" i="5"/>
  <c r="B227" i="5"/>
  <c r="A227" i="5"/>
  <c r="K227" i="5" s="1" a="1"/>
  <c r="K227" i="5" s="1"/>
  <c r="L226" i="5"/>
  <c r="K226" i="5" a="1"/>
  <c r="K226" i="5"/>
  <c r="J226" i="5"/>
  <c r="I226" i="5"/>
  <c r="H226" i="5"/>
  <c r="G226" i="5"/>
  <c r="F226" i="5"/>
  <c r="E226" i="5"/>
  <c r="D226" i="5"/>
  <c r="C226" i="5"/>
  <c r="B226" i="5"/>
  <c r="A226" i="5"/>
  <c r="L225" i="5"/>
  <c r="J225" i="5"/>
  <c r="I225" i="5"/>
  <c r="H225" i="5"/>
  <c r="G225" i="5"/>
  <c r="F225" i="5"/>
  <c r="E225" i="5"/>
  <c r="D225" i="5"/>
  <c r="C225" i="5"/>
  <c r="B225" i="5"/>
  <c r="A225" i="5"/>
  <c r="K225" i="5" s="1" a="1"/>
  <c r="K225" i="5" s="1"/>
  <c r="L224" i="5"/>
  <c r="K224" i="5" a="1"/>
  <c r="K224" i="5" s="1"/>
  <c r="J224" i="5"/>
  <c r="I224" i="5"/>
  <c r="H224" i="5"/>
  <c r="G224" i="5"/>
  <c r="F224" i="5"/>
  <c r="E224" i="5"/>
  <c r="D224" i="5"/>
  <c r="C224" i="5"/>
  <c r="B224" i="5"/>
  <c r="A224" i="5"/>
  <c r="L223" i="5"/>
  <c r="J223" i="5"/>
  <c r="I223" i="5"/>
  <c r="H223" i="5"/>
  <c r="G223" i="5"/>
  <c r="F223" i="5"/>
  <c r="E223" i="5"/>
  <c r="D223" i="5"/>
  <c r="C223" i="5"/>
  <c r="B223" i="5"/>
  <c r="A223" i="5"/>
  <c r="K223" i="5" s="1" a="1"/>
  <c r="K223" i="5" s="1"/>
  <c r="L222" i="5"/>
  <c r="J222" i="5"/>
  <c r="I222" i="5"/>
  <c r="H222" i="5"/>
  <c r="G222" i="5"/>
  <c r="F222" i="5"/>
  <c r="E222" i="5"/>
  <c r="D222" i="5"/>
  <c r="C222" i="5"/>
  <c r="B222" i="5"/>
  <c r="A222" i="5"/>
  <c r="K222" i="5" s="1" a="1"/>
  <c r="K222" i="5" s="1"/>
  <c r="L221" i="5"/>
  <c r="K221" i="5" a="1"/>
  <c r="K221" i="5"/>
  <c r="J221" i="5"/>
  <c r="I221" i="5"/>
  <c r="H221" i="5"/>
  <c r="G221" i="5"/>
  <c r="F221" i="5"/>
  <c r="E221" i="5"/>
  <c r="D221" i="5"/>
  <c r="C221" i="5"/>
  <c r="B221" i="5"/>
  <c r="A221" i="5"/>
  <c r="L220" i="5"/>
  <c r="J220" i="5"/>
  <c r="I220" i="5"/>
  <c r="H220" i="5"/>
  <c r="G220" i="5"/>
  <c r="F220" i="5"/>
  <c r="E220" i="5"/>
  <c r="D220" i="5"/>
  <c r="C220" i="5"/>
  <c r="B220" i="5"/>
  <c r="A220" i="5"/>
  <c r="K220" i="5" s="1" a="1"/>
  <c r="K220" i="5" s="1"/>
  <c r="L219" i="5"/>
  <c r="J219" i="5"/>
  <c r="I219" i="5"/>
  <c r="H219" i="5"/>
  <c r="G219" i="5"/>
  <c r="F219" i="5"/>
  <c r="E219" i="5"/>
  <c r="D219" i="5"/>
  <c r="C219" i="5"/>
  <c r="B219" i="5"/>
  <c r="A219" i="5"/>
  <c r="K219" i="5" s="1" a="1"/>
  <c r="K219" i="5" s="1"/>
  <c r="L218" i="5"/>
  <c r="K218" i="5" a="1"/>
  <c r="K218" i="5"/>
  <c r="J218" i="5"/>
  <c r="I218" i="5"/>
  <c r="H218" i="5"/>
  <c r="G218" i="5"/>
  <c r="F218" i="5"/>
  <c r="E218" i="5"/>
  <c r="D218" i="5"/>
  <c r="C218" i="5"/>
  <c r="B218" i="5"/>
  <c r="A218" i="5"/>
  <c r="L217" i="5"/>
  <c r="J217" i="5"/>
  <c r="I217" i="5"/>
  <c r="H217" i="5"/>
  <c r="G217" i="5"/>
  <c r="F217" i="5"/>
  <c r="E217" i="5"/>
  <c r="D217" i="5"/>
  <c r="C217" i="5"/>
  <c r="B217" i="5"/>
  <c r="A217" i="5"/>
  <c r="K217" i="5" s="1" a="1"/>
  <c r="K217" i="5" s="1"/>
  <c r="L216" i="5"/>
  <c r="K216" i="5" a="1"/>
  <c r="K216" i="5" s="1"/>
  <c r="J216" i="5"/>
  <c r="I216" i="5"/>
  <c r="H216" i="5"/>
  <c r="G216" i="5"/>
  <c r="F216" i="5"/>
  <c r="E216" i="5"/>
  <c r="D216" i="5"/>
  <c r="C216" i="5"/>
  <c r="B216" i="5"/>
  <c r="A216" i="5"/>
  <c r="L215" i="5"/>
  <c r="J215" i="5"/>
  <c r="I215" i="5"/>
  <c r="H215" i="5"/>
  <c r="G215" i="5"/>
  <c r="F215" i="5"/>
  <c r="E215" i="5"/>
  <c r="D215" i="5"/>
  <c r="C215" i="5"/>
  <c r="B215" i="5"/>
  <c r="A215" i="5"/>
  <c r="K215" i="5" s="1" a="1"/>
  <c r="K215" i="5" s="1"/>
  <c r="L214" i="5"/>
  <c r="J214" i="5"/>
  <c r="I214" i="5"/>
  <c r="H214" i="5"/>
  <c r="G214" i="5"/>
  <c r="F214" i="5"/>
  <c r="E214" i="5"/>
  <c r="D214" i="5"/>
  <c r="C214" i="5"/>
  <c r="B214" i="5"/>
  <c r="A214" i="5"/>
  <c r="K214" i="5" s="1" a="1"/>
  <c r="K214" i="5" s="1"/>
  <c r="L213" i="5"/>
  <c r="K213" i="5" a="1"/>
  <c r="K213" i="5"/>
  <c r="J213" i="5"/>
  <c r="I213" i="5"/>
  <c r="H213" i="5"/>
  <c r="G213" i="5"/>
  <c r="F213" i="5"/>
  <c r="E213" i="5"/>
  <c r="D213" i="5"/>
  <c r="C213" i="5"/>
  <c r="B213" i="5"/>
  <c r="A213" i="5"/>
  <c r="L212" i="5"/>
  <c r="J212" i="5"/>
  <c r="I212" i="5"/>
  <c r="H212" i="5"/>
  <c r="G212" i="5"/>
  <c r="F212" i="5"/>
  <c r="E212" i="5"/>
  <c r="D212" i="5"/>
  <c r="C212" i="5"/>
  <c r="B212" i="5"/>
  <c r="A212" i="5"/>
  <c r="K212" i="5" s="1" a="1"/>
  <c r="K212" i="5" s="1"/>
  <c r="L211" i="5"/>
  <c r="J211" i="5"/>
  <c r="I211" i="5"/>
  <c r="H211" i="5"/>
  <c r="G211" i="5"/>
  <c r="F211" i="5"/>
  <c r="E211" i="5"/>
  <c r="D211" i="5"/>
  <c r="C211" i="5"/>
  <c r="B211" i="5"/>
  <c r="A211" i="5"/>
  <c r="K211" i="5" s="1" a="1"/>
  <c r="K211" i="5" s="1"/>
  <c r="L210" i="5"/>
  <c r="K210" i="5" a="1"/>
  <c r="K210" i="5"/>
  <c r="J210" i="5"/>
  <c r="I210" i="5"/>
  <c r="H210" i="5"/>
  <c r="G210" i="5"/>
  <c r="F210" i="5"/>
  <c r="E210" i="5"/>
  <c r="D210" i="5"/>
  <c r="C210" i="5"/>
  <c r="B210" i="5"/>
  <c r="A210" i="5"/>
  <c r="L209" i="5"/>
  <c r="J209" i="5"/>
  <c r="I209" i="5"/>
  <c r="H209" i="5"/>
  <c r="G209" i="5"/>
  <c r="F209" i="5"/>
  <c r="E209" i="5"/>
  <c r="D209" i="5"/>
  <c r="C209" i="5"/>
  <c r="B209" i="5"/>
  <c r="A209" i="5"/>
  <c r="K209" i="5" s="1" a="1"/>
  <c r="K209" i="5" s="1"/>
  <c r="L208" i="5"/>
  <c r="K208" i="5" a="1"/>
  <c r="K208" i="5" s="1"/>
  <c r="J208" i="5"/>
  <c r="I208" i="5"/>
  <c r="H208" i="5"/>
  <c r="G208" i="5"/>
  <c r="F208" i="5"/>
  <c r="E208" i="5"/>
  <c r="D208" i="5"/>
  <c r="C208" i="5"/>
  <c r="B208" i="5"/>
  <c r="A208" i="5"/>
  <c r="L207" i="5"/>
  <c r="J207" i="5"/>
  <c r="I207" i="5"/>
  <c r="H207" i="5"/>
  <c r="G207" i="5"/>
  <c r="F207" i="5"/>
  <c r="E207" i="5"/>
  <c r="D207" i="5"/>
  <c r="C207" i="5"/>
  <c r="B207" i="5"/>
  <c r="A207" i="5"/>
  <c r="K207" i="5" s="1" a="1"/>
  <c r="K207" i="5" s="1"/>
  <c r="L206" i="5"/>
  <c r="J206" i="5"/>
  <c r="I206" i="5"/>
  <c r="H206" i="5"/>
  <c r="G206" i="5"/>
  <c r="F206" i="5"/>
  <c r="E206" i="5"/>
  <c r="D206" i="5"/>
  <c r="C206" i="5"/>
  <c r="B206" i="5"/>
  <c r="A206" i="5"/>
  <c r="K206" i="5" s="1" a="1"/>
  <c r="K206" i="5" s="1"/>
  <c r="L205" i="5"/>
  <c r="K205" i="5" a="1"/>
  <c r="K205" i="5"/>
  <c r="J205" i="5"/>
  <c r="I205" i="5"/>
  <c r="H205" i="5"/>
  <c r="G205" i="5"/>
  <c r="F205" i="5"/>
  <c r="E205" i="5"/>
  <c r="D205" i="5"/>
  <c r="C205" i="5"/>
  <c r="B205" i="5"/>
  <c r="A205" i="5"/>
  <c r="L204" i="5"/>
  <c r="J204" i="5"/>
  <c r="I204" i="5"/>
  <c r="H204" i="5"/>
  <c r="G204" i="5"/>
  <c r="F204" i="5"/>
  <c r="E204" i="5"/>
  <c r="D204" i="5"/>
  <c r="C204" i="5"/>
  <c r="B204" i="5"/>
  <c r="A204" i="5"/>
  <c r="K204" i="5" s="1" a="1"/>
  <c r="K204" i="5" s="1"/>
  <c r="L203" i="5"/>
  <c r="J203" i="5"/>
  <c r="I203" i="5"/>
  <c r="H203" i="5"/>
  <c r="G203" i="5"/>
  <c r="F203" i="5"/>
  <c r="E203" i="5"/>
  <c r="D203" i="5"/>
  <c r="C203" i="5"/>
  <c r="B203" i="5"/>
  <c r="A203" i="5"/>
  <c r="K203" i="5" s="1" a="1"/>
  <c r="K203" i="5" s="1"/>
  <c r="L202" i="5"/>
  <c r="K202" i="5" a="1"/>
  <c r="K202" i="5"/>
  <c r="J202" i="5"/>
  <c r="I202" i="5"/>
  <c r="H202" i="5"/>
  <c r="G202" i="5"/>
  <c r="F202" i="5"/>
  <c r="E202" i="5"/>
  <c r="D202" i="5"/>
  <c r="C202" i="5"/>
  <c r="B202" i="5"/>
  <c r="A202" i="5"/>
  <c r="L201" i="5"/>
  <c r="J201" i="5"/>
  <c r="I201" i="5"/>
  <c r="H201" i="5"/>
  <c r="G201" i="5"/>
  <c r="F201" i="5"/>
  <c r="E201" i="5"/>
  <c r="D201" i="5"/>
  <c r="C201" i="5"/>
  <c r="B201" i="5"/>
  <c r="A201" i="5"/>
  <c r="K201" i="5" s="1" a="1"/>
  <c r="K201" i="5" s="1"/>
  <c r="L200" i="5"/>
  <c r="K200" i="5" a="1"/>
  <c r="K200" i="5" s="1"/>
  <c r="J200" i="5"/>
  <c r="I200" i="5"/>
  <c r="H200" i="5"/>
  <c r="G200" i="5"/>
  <c r="F200" i="5"/>
  <c r="E200" i="5"/>
  <c r="D200" i="5"/>
  <c r="C200" i="5"/>
  <c r="B200" i="5"/>
  <c r="A200" i="5"/>
  <c r="L199" i="5"/>
  <c r="J199" i="5"/>
  <c r="I199" i="5"/>
  <c r="H199" i="5"/>
  <c r="G199" i="5"/>
  <c r="F199" i="5"/>
  <c r="E199" i="5"/>
  <c r="D199" i="5"/>
  <c r="C199" i="5"/>
  <c r="B199" i="5"/>
  <c r="A199" i="5"/>
  <c r="K199" i="5" s="1" a="1"/>
  <c r="K199" i="5" s="1"/>
  <c r="L198" i="5"/>
  <c r="J198" i="5"/>
  <c r="I198" i="5"/>
  <c r="H198" i="5"/>
  <c r="G198" i="5"/>
  <c r="F198" i="5"/>
  <c r="E198" i="5"/>
  <c r="D198" i="5"/>
  <c r="C198" i="5"/>
  <c r="B198" i="5"/>
  <c r="A198" i="5"/>
  <c r="K198" i="5" s="1" a="1"/>
  <c r="K198" i="5" s="1"/>
  <c r="L197" i="5"/>
  <c r="K197" i="5" a="1"/>
  <c r="K197" i="5"/>
  <c r="J197" i="5"/>
  <c r="I197" i="5"/>
  <c r="H197" i="5"/>
  <c r="G197" i="5"/>
  <c r="F197" i="5"/>
  <c r="E197" i="5"/>
  <c r="D197" i="5"/>
  <c r="C197" i="5"/>
  <c r="B197" i="5"/>
  <c r="A197" i="5"/>
  <c r="L196" i="5"/>
  <c r="J196" i="5"/>
  <c r="I196" i="5"/>
  <c r="H196" i="5"/>
  <c r="G196" i="5"/>
  <c r="F196" i="5"/>
  <c r="E196" i="5"/>
  <c r="D196" i="5"/>
  <c r="C196" i="5"/>
  <c r="B196" i="5"/>
  <c r="A196" i="5"/>
  <c r="K196" i="5" s="1" a="1"/>
  <c r="K196" i="5" s="1"/>
  <c r="L195" i="5"/>
  <c r="J195" i="5"/>
  <c r="I195" i="5"/>
  <c r="H195" i="5"/>
  <c r="G195" i="5"/>
  <c r="F195" i="5"/>
  <c r="E195" i="5"/>
  <c r="D195" i="5"/>
  <c r="C195" i="5"/>
  <c r="B195" i="5"/>
  <c r="A195" i="5"/>
  <c r="K195" i="5" s="1" a="1"/>
  <c r="K195" i="5" s="1"/>
  <c r="L194" i="5"/>
  <c r="K194" i="5" a="1"/>
  <c r="K194" i="5"/>
  <c r="J194" i="5"/>
  <c r="I194" i="5"/>
  <c r="H194" i="5"/>
  <c r="G194" i="5"/>
  <c r="F194" i="5"/>
  <c r="E194" i="5"/>
  <c r="D194" i="5"/>
  <c r="C194" i="5"/>
  <c r="B194" i="5"/>
  <c r="A194" i="5"/>
  <c r="L193" i="5"/>
  <c r="J193" i="5"/>
  <c r="I193" i="5"/>
  <c r="H193" i="5"/>
  <c r="G193" i="5"/>
  <c r="F193" i="5"/>
  <c r="E193" i="5"/>
  <c r="D193" i="5"/>
  <c r="C193" i="5"/>
  <c r="B193" i="5"/>
  <c r="A193" i="5"/>
  <c r="K193" i="5" s="1" a="1"/>
  <c r="K193" i="5" s="1"/>
  <c r="L192" i="5"/>
  <c r="K192" i="5" a="1"/>
  <c r="K192" i="5" s="1"/>
  <c r="J192" i="5"/>
  <c r="I192" i="5"/>
  <c r="H192" i="5"/>
  <c r="G192" i="5"/>
  <c r="F192" i="5"/>
  <c r="E192" i="5"/>
  <c r="D192" i="5"/>
  <c r="C192" i="5"/>
  <c r="B192" i="5"/>
  <c r="A192" i="5"/>
  <c r="L191" i="5"/>
  <c r="J191" i="5"/>
  <c r="I191" i="5"/>
  <c r="H191" i="5"/>
  <c r="G191" i="5"/>
  <c r="F191" i="5"/>
  <c r="E191" i="5"/>
  <c r="D191" i="5"/>
  <c r="C191" i="5"/>
  <c r="B191" i="5"/>
  <c r="A191" i="5"/>
  <c r="K191" i="5" s="1" a="1"/>
  <c r="K191" i="5" s="1"/>
  <c r="L190" i="5"/>
  <c r="J190" i="5"/>
  <c r="I190" i="5"/>
  <c r="H190" i="5"/>
  <c r="G190" i="5"/>
  <c r="F190" i="5"/>
  <c r="E190" i="5"/>
  <c r="D190" i="5"/>
  <c r="C190" i="5"/>
  <c r="B190" i="5"/>
  <c r="A190" i="5"/>
  <c r="K190" i="5" s="1" a="1"/>
  <c r="K190" i="5" s="1"/>
  <c r="L189" i="5"/>
  <c r="K189" i="5" a="1"/>
  <c r="K189" i="5"/>
  <c r="J189" i="5"/>
  <c r="I189" i="5"/>
  <c r="H189" i="5"/>
  <c r="G189" i="5"/>
  <c r="F189" i="5"/>
  <c r="E189" i="5"/>
  <c r="D189" i="5"/>
  <c r="C189" i="5"/>
  <c r="B189" i="5"/>
  <c r="A189" i="5"/>
  <c r="L188" i="5"/>
  <c r="J188" i="5"/>
  <c r="I188" i="5"/>
  <c r="H188" i="5"/>
  <c r="G188" i="5"/>
  <c r="F188" i="5"/>
  <c r="E188" i="5"/>
  <c r="D188" i="5"/>
  <c r="C188" i="5"/>
  <c r="B188" i="5"/>
  <c r="A188" i="5"/>
  <c r="K188" i="5" s="1" a="1"/>
  <c r="K188" i="5" s="1"/>
  <c r="L187" i="5"/>
  <c r="J187" i="5"/>
  <c r="I187" i="5"/>
  <c r="H187" i="5"/>
  <c r="G187" i="5"/>
  <c r="F187" i="5"/>
  <c r="E187" i="5"/>
  <c r="D187" i="5"/>
  <c r="C187" i="5"/>
  <c r="B187" i="5"/>
  <c r="A187" i="5"/>
  <c r="K187" i="5" s="1" a="1"/>
  <c r="K187" i="5" s="1"/>
  <c r="L186" i="5"/>
  <c r="K186" i="5" a="1"/>
  <c r="K186" i="5"/>
  <c r="J186" i="5"/>
  <c r="I186" i="5"/>
  <c r="H186" i="5"/>
  <c r="G186" i="5"/>
  <c r="F186" i="5"/>
  <c r="E186" i="5"/>
  <c r="D186" i="5"/>
  <c r="C186" i="5"/>
  <c r="B186" i="5"/>
  <c r="A186" i="5"/>
  <c r="L185" i="5"/>
  <c r="J185" i="5"/>
  <c r="I185" i="5"/>
  <c r="H185" i="5"/>
  <c r="G185" i="5"/>
  <c r="F185" i="5"/>
  <c r="E185" i="5"/>
  <c r="D185" i="5"/>
  <c r="C185" i="5"/>
  <c r="B185" i="5"/>
  <c r="A185" i="5"/>
  <c r="K185" i="5" s="1" a="1"/>
  <c r="K185" i="5" s="1"/>
  <c r="L184" i="5"/>
  <c r="K184" i="5" a="1"/>
  <c r="K184" i="5" s="1"/>
  <c r="J184" i="5"/>
  <c r="I184" i="5"/>
  <c r="H184" i="5"/>
  <c r="G184" i="5"/>
  <c r="F184" i="5"/>
  <c r="E184" i="5"/>
  <c r="D184" i="5"/>
  <c r="C184" i="5"/>
  <c r="B184" i="5"/>
  <c r="A184" i="5"/>
  <c r="L183" i="5"/>
  <c r="J183" i="5"/>
  <c r="I183" i="5"/>
  <c r="H183" i="5"/>
  <c r="G183" i="5"/>
  <c r="F183" i="5"/>
  <c r="E183" i="5"/>
  <c r="D183" i="5"/>
  <c r="C183" i="5"/>
  <c r="B183" i="5"/>
  <c r="A183" i="5"/>
  <c r="K183" i="5" s="1" a="1"/>
  <c r="K183" i="5" s="1"/>
  <c r="L182" i="5"/>
  <c r="J182" i="5"/>
  <c r="I182" i="5"/>
  <c r="H182" i="5"/>
  <c r="G182" i="5"/>
  <c r="F182" i="5"/>
  <c r="E182" i="5"/>
  <c r="D182" i="5"/>
  <c r="C182" i="5"/>
  <c r="B182" i="5"/>
  <c r="A182" i="5"/>
  <c r="K182" i="5" s="1" a="1"/>
  <c r="K182" i="5" s="1"/>
  <c r="L181" i="5"/>
  <c r="K181" i="5" a="1"/>
  <c r="K181" i="5"/>
  <c r="J181" i="5"/>
  <c r="I181" i="5"/>
  <c r="H181" i="5"/>
  <c r="G181" i="5"/>
  <c r="F181" i="5"/>
  <c r="E181" i="5"/>
  <c r="D181" i="5"/>
  <c r="C181" i="5"/>
  <c r="B181" i="5"/>
  <c r="A181" i="5"/>
  <c r="L180" i="5"/>
  <c r="J180" i="5"/>
  <c r="I180" i="5"/>
  <c r="H180" i="5"/>
  <c r="G180" i="5"/>
  <c r="F180" i="5"/>
  <c r="E180" i="5"/>
  <c r="D180" i="5"/>
  <c r="C180" i="5"/>
  <c r="B180" i="5"/>
  <c r="A180" i="5"/>
  <c r="K180" i="5" s="1" a="1"/>
  <c r="K180" i="5" s="1"/>
  <c r="L179" i="5"/>
  <c r="J179" i="5"/>
  <c r="I179" i="5"/>
  <c r="H179" i="5"/>
  <c r="G179" i="5"/>
  <c r="F179" i="5"/>
  <c r="E179" i="5"/>
  <c r="D179" i="5"/>
  <c r="C179" i="5"/>
  <c r="B179" i="5"/>
  <c r="A179" i="5"/>
  <c r="K179" i="5" s="1" a="1"/>
  <c r="K179" i="5" s="1"/>
  <c r="L178" i="5"/>
  <c r="K178" i="5" a="1"/>
  <c r="K178" i="5"/>
  <c r="J178" i="5"/>
  <c r="I178" i="5"/>
  <c r="H178" i="5"/>
  <c r="G178" i="5"/>
  <c r="F178" i="5"/>
  <c r="E178" i="5"/>
  <c r="D178" i="5"/>
  <c r="C178" i="5"/>
  <c r="B178" i="5"/>
  <c r="A178" i="5"/>
  <c r="L177" i="5"/>
  <c r="J177" i="5"/>
  <c r="I177" i="5"/>
  <c r="H177" i="5"/>
  <c r="G177" i="5"/>
  <c r="F177" i="5"/>
  <c r="E177" i="5"/>
  <c r="D177" i="5"/>
  <c r="C177" i="5"/>
  <c r="B177" i="5"/>
  <c r="A177" i="5"/>
  <c r="K177" i="5" s="1" a="1"/>
  <c r="K177" i="5" s="1"/>
  <c r="L176" i="5"/>
  <c r="K176" i="5" a="1"/>
  <c r="K176" i="5" s="1"/>
  <c r="J176" i="5"/>
  <c r="I176" i="5"/>
  <c r="H176" i="5"/>
  <c r="G176" i="5"/>
  <c r="F176" i="5"/>
  <c r="E176" i="5"/>
  <c r="D176" i="5"/>
  <c r="C176" i="5"/>
  <c r="B176" i="5"/>
  <c r="A176" i="5"/>
  <c r="L175" i="5"/>
  <c r="J175" i="5"/>
  <c r="I175" i="5"/>
  <c r="H175" i="5"/>
  <c r="G175" i="5"/>
  <c r="F175" i="5"/>
  <c r="E175" i="5"/>
  <c r="D175" i="5"/>
  <c r="C175" i="5"/>
  <c r="B175" i="5"/>
  <c r="A175" i="5"/>
  <c r="K175" i="5" s="1" a="1"/>
  <c r="K175" i="5" s="1"/>
  <c r="L174" i="5"/>
  <c r="J174" i="5"/>
  <c r="I174" i="5"/>
  <c r="H174" i="5"/>
  <c r="G174" i="5"/>
  <c r="F174" i="5"/>
  <c r="E174" i="5"/>
  <c r="D174" i="5"/>
  <c r="C174" i="5"/>
  <c r="B174" i="5"/>
  <c r="A174" i="5"/>
  <c r="K174" i="5" s="1" a="1"/>
  <c r="K174" i="5" s="1"/>
  <c r="L173" i="5"/>
  <c r="K173" i="5" a="1"/>
  <c r="K173" i="5"/>
  <c r="J173" i="5"/>
  <c r="I173" i="5"/>
  <c r="H173" i="5"/>
  <c r="G173" i="5"/>
  <c r="F173" i="5"/>
  <c r="E173" i="5"/>
  <c r="D173" i="5"/>
  <c r="C173" i="5"/>
  <c r="B173" i="5"/>
  <c r="A173" i="5"/>
  <c r="L172" i="5"/>
  <c r="J172" i="5"/>
  <c r="I172" i="5"/>
  <c r="H172" i="5"/>
  <c r="G172" i="5"/>
  <c r="F172" i="5"/>
  <c r="E172" i="5"/>
  <c r="D172" i="5"/>
  <c r="C172" i="5"/>
  <c r="B172" i="5"/>
  <c r="A172" i="5"/>
  <c r="K172" i="5" s="1" a="1"/>
  <c r="K172" i="5" s="1"/>
  <c r="L171" i="5"/>
  <c r="J171" i="5"/>
  <c r="I171" i="5"/>
  <c r="H171" i="5"/>
  <c r="G171" i="5"/>
  <c r="F171" i="5"/>
  <c r="E171" i="5"/>
  <c r="D171" i="5"/>
  <c r="C171" i="5"/>
  <c r="B171" i="5"/>
  <c r="A171" i="5"/>
  <c r="K171" i="5" s="1" a="1"/>
  <c r="K171" i="5" s="1"/>
  <c r="L170" i="5"/>
  <c r="K170" i="5" a="1"/>
  <c r="K170" i="5"/>
  <c r="J170" i="5"/>
  <c r="I170" i="5"/>
  <c r="H170" i="5"/>
  <c r="G170" i="5"/>
  <c r="F170" i="5"/>
  <c r="E170" i="5"/>
  <c r="D170" i="5"/>
  <c r="C170" i="5"/>
  <c r="B170" i="5"/>
  <c r="A170" i="5"/>
  <c r="L169" i="5"/>
  <c r="J169" i="5"/>
  <c r="I169" i="5"/>
  <c r="H169" i="5"/>
  <c r="G169" i="5"/>
  <c r="F169" i="5"/>
  <c r="E169" i="5"/>
  <c r="D169" i="5"/>
  <c r="C169" i="5"/>
  <c r="B169" i="5"/>
  <c r="A169" i="5"/>
  <c r="K169" i="5" s="1" a="1"/>
  <c r="K169" i="5" s="1"/>
  <c r="L168" i="5"/>
  <c r="K168" i="5" a="1"/>
  <c r="K168" i="5" s="1"/>
  <c r="J168" i="5"/>
  <c r="I168" i="5"/>
  <c r="H168" i="5"/>
  <c r="G168" i="5"/>
  <c r="F168" i="5"/>
  <c r="E168" i="5"/>
  <c r="D168" i="5"/>
  <c r="C168" i="5"/>
  <c r="B168" i="5"/>
  <c r="A168" i="5"/>
  <c r="L167" i="5"/>
  <c r="J167" i="5"/>
  <c r="I167" i="5"/>
  <c r="H167" i="5"/>
  <c r="G167" i="5"/>
  <c r="F167" i="5"/>
  <c r="E167" i="5"/>
  <c r="D167" i="5"/>
  <c r="C167" i="5"/>
  <c r="B167" i="5"/>
  <c r="A167" i="5"/>
  <c r="K167" i="5" s="1" a="1"/>
  <c r="K167" i="5" s="1"/>
  <c r="L166" i="5"/>
  <c r="J166" i="5"/>
  <c r="I166" i="5"/>
  <c r="H166" i="5"/>
  <c r="G166" i="5"/>
  <c r="F166" i="5"/>
  <c r="E166" i="5"/>
  <c r="D166" i="5"/>
  <c r="C166" i="5"/>
  <c r="B166" i="5"/>
  <c r="A166" i="5"/>
  <c r="K166" i="5" s="1" a="1"/>
  <c r="K166" i="5" s="1"/>
  <c r="L165" i="5"/>
  <c r="K165" i="5" a="1"/>
  <c r="K165" i="5" s="1"/>
  <c r="J165" i="5"/>
  <c r="I165" i="5"/>
  <c r="H165" i="5"/>
  <c r="G165" i="5"/>
  <c r="F165" i="5"/>
  <c r="E165" i="5"/>
  <c r="D165" i="5"/>
  <c r="C165" i="5"/>
  <c r="B165" i="5"/>
  <c r="A165" i="5"/>
  <c r="L164" i="5"/>
  <c r="J164" i="5"/>
  <c r="I164" i="5"/>
  <c r="H164" i="5"/>
  <c r="G164" i="5"/>
  <c r="F164" i="5"/>
  <c r="E164" i="5"/>
  <c r="D164" i="5"/>
  <c r="C164" i="5"/>
  <c r="B164" i="5"/>
  <c r="A164" i="5"/>
  <c r="K164" i="5" s="1" a="1"/>
  <c r="K164" i="5" s="1"/>
  <c r="L163" i="5"/>
  <c r="J163" i="5"/>
  <c r="I163" i="5"/>
  <c r="H163" i="5"/>
  <c r="G163" i="5"/>
  <c r="F163" i="5"/>
  <c r="E163" i="5"/>
  <c r="D163" i="5"/>
  <c r="C163" i="5"/>
  <c r="B163" i="5"/>
  <c r="A163" i="5"/>
  <c r="K163" i="5" s="1" a="1"/>
  <c r="K163" i="5" s="1"/>
  <c r="L162" i="5"/>
  <c r="K162" i="5" a="1"/>
  <c r="K162" i="5"/>
  <c r="J162" i="5"/>
  <c r="I162" i="5"/>
  <c r="H162" i="5"/>
  <c r="G162" i="5"/>
  <c r="F162" i="5"/>
  <c r="E162" i="5"/>
  <c r="D162" i="5"/>
  <c r="C162" i="5"/>
  <c r="B162" i="5"/>
  <c r="A162" i="5"/>
  <c r="L161" i="5"/>
  <c r="J161" i="5"/>
  <c r="I161" i="5"/>
  <c r="H161" i="5"/>
  <c r="G161" i="5"/>
  <c r="F161" i="5"/>
  <c r="E161" i="5"/>
  <c r="D161" i="5"/>
  <c r="C161" i="5"/>
  <c r="B161" i="5"/>
  <c r="A161" i="5"/>
  <c r="K161" i="5" s="1" a="1"/>
  <c r="K161" i="5" s="1"/>
  <c r="L160" i="5"/>
  <c r="K160" i="5" a="1"/>
  <c r="K160" i="5" s="1"/>
  <c r="J160" i="5"/>
  <c r="I160" i="5"/>
  <c r="H160" i="5"/>
  <c r="G160" i="5"/>
  <c r="F160" i="5"/>
  <c r="E160" i="5"/>
  <c r="D160" i="5"/>
  <c r="C160" i="5"/>
  <c r="B160" i="5"/>
  <c r="A160" i="5"/>
  <c r="L159" i="5"/>
  <c r="J159" i="5"/>
  <c r="I159" i="5"/>
  <c r="H159" i="5"/>
  <c r="G159" i="5"/>
  <c r="F159" i="5"/>
  <c r="E159" i="5"/>
  <c r="D159" i="5"/>
  <c r="C159" i="5"/>
  <c r="B159" i="5"/>
  <c r="A159" i="5"/>
  <c r="K159" i="5" s="1" a="1"/>
  <c r="K159" i="5" s="1"/>
  <c r="L158" i="5"/>
  <c r="J158" i="5"/>
  <c r="I158" i="5"/>
  <c r="H158" i="5"/>
  <c r="G158" i="5"/>
  <c r="F158" i="5"/>
  <c r="E158" i="5"/>
  <c r="D158" i="5"/>
  <c r="C158" i="5"/>
  <c r="B158" i="5"/>
  <c r="A158" i="5"/>
  <c r="K158" i="5" s="1" a="1"/>
  <c r="K158" i="5" s="1"/>
  <c r="L157" i="5"/>
  <c r="K157" i="5" a="1"/>
  <c r="K157" i="5" s="1"/>
  <c r="J157" i="5"/>
  <c r="I157" i="5"/>
  <c r="H157" i="5"/>
  <c r="G157" i="5"/>
  <c r="F157" i="5"/>
  <c r="E157" i="5"/>
  <c r="D157" i="5"/>
  <c r="C157" i="5"/>
  <c r="B157" i="5"/>
  <c r="A157" i="5"/>
  <c r="L156" i="5"/>
  <c r="J156" i="5"/>
  <c r="I156" i="5"/>
  <c r="H156" i="5"/>
  <c r="G156" i="5"/>
  <c r="F156" i="5"/>
  <c r="E156" i="5"/>
  <c r="D156" i="5"/>
  <c r="C156" i="5"/>
  <c r="B156" i="5"/>
  <c r="A156" i="5"/>
  <c r="K156" i="5" s="1" a="1"/>
  <c r="K156" i="5" s="1"/>
  <c r="L155" i="5"/>
  <c r="J155" i="5"/>
  <c r="I155" i="5"/>
  <c r="H155" i="5"/>
  <c r="G155" i="5"/>
  <c r="F155" i="5"/>
  <c r="E155" i="5"/>
  <c r="D155" i="5"/>
  <c r="C155" i="5"/>
  <c r="B155" i="5"/>
  <c r="A155" i="5"/>
  <c r="K155" i="5" s="1" a="1"/>
  <c r="K155" i="5" s="1"/>
  <c r="L154" i="5"/>
  <c r="K154" i="5" a="1"/>
  <c r="K154" i="5"/>
  <c r="J154" i="5"/>
  <c r="I154" i="5"/>
  <c r="H154" i="5"/>
  <c r="G154" i="5"/>
  <c r="F154" i="5"/>
  <c r="E154" i="5"/>
  <c r="D154" i="5"/>
  <c r="C154" i="5"/>
  <c r="B154" i="5"/>
  <c r="A154" i="5"/>
  <c r="L153" i="5"/>
  <c r="J153" i="5"/>
  <c r="I153" i="5"/>
  <c r="H153" i="5"/>
  <c r="G153" i="5"/>
  <c r="F153" i="5"/>
  <c r="E153" i="5"/>
  <c r="D153" i="5"/>
  <c r="C153" i="5"/>
  <c r="B153" i="5"/>
  <c r="A153" i="5"/>
  <c r="K153" i="5" s="1" a="1"/>
  <c r="K153" i="5" s="1"/>
  <c r="L152" i="5"/>
  <c r="K152" i="5" a="1"/>
  <c r="K152" i="5" s="1"/>
  <c r="J152" i="5"/>
  <c r="I152" i="5"/>
  <c r="H152" i="5"/>
  <c r="G152" i="5"/>
  <c r="F152" i="5"/>
  <c r="E152" i="5"/>
  <c r="D152" i="5"/>
  <c r="C152" i="5"/>
  <c r="B152" i="5"/>
  <c r="A152" i="5"/>
  <c r="L151" i="5"/>
  <c r="J151" i="5"/>
  <c r="I151" i="5"/>
  <c r="H151" i="5"/>
  <c r="G151" i="5"/>
  <c r="F151" i="5"/>
  <c r="E151" i="5"/>
  <c r="D151" i="5"/>
  <c r="C151" i="5"/>
  <c r="B151" i="5"/>
  <c r="A151" i="5"/>
  <c r="K151" i="5" s="1" a="1"/>
  <c r="K151" i="5" s="1"/>
  <c r="L150" i="5"/>
  <c r="J150" i="5"/>
  <c r="I150" i="5"/>
  <c r="H150" i="5"/>
  <c r="G150" i="5"/>
  <c r="F150" i="5"/>
  <c r="E150" i="5"/>
  <c r="D150" i="5"/>
  <c r="C150" i="5"/>
  <c r="B150" i="5"/>
  <c r="A150" i="5"/>
  <c r="K150" i="5" s="1" a="1"/>
  <c r="K150" i="5" s="1"/>
  <c r="L149" i="5"/>
  <c r="K149" i="5" a="1"/>
  <c r="K149" i="5" s="1"/>
  <c r="J149" i="5"/>
  <c r="I149" i="5"/>
  <c r="H149" i="5"/>
  <c r="G149" i="5"/>
  <c r="F149" i="5"/>
  <c r="E149" i="5"/>
  <c r="D149" i="5"/>
  <c r="C149" i="5"/>
  <c r="B149" i="5"/>
  <c r="A149" i="5"/>
  <c r="L148" i="5"/>
  <c r="J148" i="5"/>
  <c r="I148" i="5"/>
  <c r="H148" i="5"/>
  <c r="G148" i="5"/>
  <c r="F148" i="5"/>
  <c r="E148" i="5"/>
  <c r="D148" i="5"/>
  <c r="C148" i="5"/>
  <c r="B148" i="5"/>
  <c r="A148" i="5"/>
  <c r="K148" i="5" s="1" a="1"/>
  <c r="K148" i="5" s="1"/>
  <c r="L147" i="5"/>
  <c r="J147" i="5"/>
  <c r="I147" i="5"/>
  <c r="H147" i="5"/>
  <c r="G147" i="5"/>
  <c r="F147" i="5"/>
  <c r="E147" i="5"/>
  <c r="D147" i="5"/>
  <c r="C147" i="5"/>
  <c r="B147" i="5"/>
  <c r="A147" i="5"/>
  <c r="K147" i="5" s="1" a="1"/>
  <c r="K147" i="5" s="1"/>
  <c r="L146" i="5"/>
  <c r="K146" i="5" a="1"/>
  <c r="K146" i="5"/>
  <c r="J146" i="5"/>
  <c r="I146" i="5"/>
  <c r="H146" i="5"/>
  <c r="G146" i="5"/>
  <c r="F146" i="5"/>
  <c r="E146" i="5"/>
  <c r="D146" i="5"/>
  <c r="C146" i="5"/>
  <c r="B146" i="5"/>
  <c r="A146" i="5"/>
  <c r="L145" i="5"/>
  <c r="J145" i="5"/>
  <c r="I145" i="5"/>
  <c r="H145" i="5"/>
  <c r="G145" i="5"/>
  <c r="F145" i="5"/>
  <c r="E145" i="5"/>
  <c r="D145" i="5"/>
  <c r="C145" i="5"/>
  <c r="B145" i="5"/>
  <c r="A145" i="5"/>
  <c r="K145" i="5" s="1" a="1"/>
  <c r="K145" i="5" s="1"/>
  <c r="L144" i="5"/>
  <c r="K144" i="5" a="1"/>
  <c r="K144" i="5" s="1"/>
  <c r="J144" i="5"/>
  <c r="I144" i="5"/>
  <c r="H144" i="5"/>
  <c r="G144" i="5"/>
  <c r="F144" i="5"/>
  <c r="E144" i="5"/>
  <c r="D144" i="5"/>
  <c r="C144" i="5"/>
  <c r="B144" i="5"/>
  <c r="A144" i="5"/>
  <c r="L143" i="5"/>
  <c r="J143" i="5"/>
  <c r="I143" i="5"/>
  <c r="H143" i="5"/>
  <c r="G143" i="5"/>
  <c r="F143" i="5"/>
  <c r="E143" i="5"/>
  <c r="D143" i="5"/>
  <c r="C143" i="5"/>
  <c r="B143" i="5"/>
  <c r="A143" i="5"/>
  <c r="K143" i="5" s="1" a="1"/>
  <c r="K143" i="5" s="1"/>
  <c r="L142" i="5"/>
  <c r="J142" i="5"/>
  <c r="I142" i="5"/>
  <c r="H142" i="5"/>
  <c r="G142" i="5"/>
  <c r="F142" i="5"/>
  <c r="E142" i="5"/>
  <c r="D142" i="5"/>
  <c r="C142" i="5"/>
  <c r="B142" i="5"/>
  <c r="A142" i="5"/>
  <c r="K142" i="5" s="1" a="1"/>
  <c r="K142" i="5" s="1"/>
  <c r="L141" i="5"/>
  <c r="K141" i="5" a="1"/>
  <c r="K141" i="5" s="1"/>
  <c r="J141" i="5"/>
  <c r="I141" i="5"/>
  <c r="H141" i="5"/>
  <c r="G141" i="5"/>
  <c r="F141" i="5"/>
  <c r="E141" i="5"/>
  <c r="D141" i="5"/>
  <c r="C141" i="5"/>
  <c r="B141" i="5"/>
  <c r="A141" i="5"/>
  <c r="L140" i="5"/>
  <c r="J140" i="5"/>
  <c r="I140" i="5"/>
  <c r="H140" i="5"/>
  <c r="G140" i="5"/>
  <c r="F140" i="5"/>
  <c r="E140" i="5"/>
  <c r="D140" i="5"/>
  <c r="C140" i="5"/>
  <c r="B140" i="5"/>
  <c r="A140" i="5"/>
  <c r="K140" i="5" s="1" a="1"/>
  <c r="K140" i="5" s="1"/>
  <c r="L139" i="5"/>
  <c r="J139" i="5"/>
  <c r="I139" i="5"/>
  <c r="H139" i="5"/>
  <c r="G139" i="5"/>
  <c r="F139" i="5"/>
  <c r="E139" i="5"/>
  <c r="D139" i="5"/>
  <c r="C139" i="5"/>
  <c r="B139" i="5"/>
  <c r="A139" i="5"/>
  <c r="K139" i="5" s="1" a="1"/>
  <c r="K139" i="5" s="1"/>
  <c r="L138" i="5"/>
  <c r="K138" i="5" a="1"/>
  <c r="K138" i="5"/>
  <c r="J138" i="5"/>
  <c r="I138" i="5"/>
  <c r="H138" i="5"/>
  <c r="G138" i="5"/>
  <c r="F138" i="5"/>
  <c r="E138" i="5"/>
  <c r="D138" i="5"/>
  <c r="C138" i="5"/>
  <c r="B138" i="5"/>
  <c r="A138" i="5"/>
  <c r="L137" i="5"/>
  <c r="J137" i="5"/>
  <c r="I137" i="5"/>
  <c r="H137" i="5"/>
  <c r="G137" i="5"/>
  <c r="F137" i="5"/>
  <c r="E137" i="5"/>
  <c r="D137" i="5"/>
  <c r="C137" i="5"/>
  <c r="B137" i="5"/>
  <c r="A137" i="5"/>
  <c r="K137" i="5" s="1" a="1"/>
  <c r="K137" i="5" s="1"/>
  <c r="L136" i="5"/>
  <c r="K136" i="5" a="1"/>
  <c r="K136" i="5" s="1"/>
  <c r="J136" i="5"/>
  <c r="I136" i="5"/>
  <c r="H136" i="5"/>
  <c r="G136" i="5"/>
  <c r="F136" i="5"/>
  <c r="E136" i="5"/>
  <c r="D136" i="5"/>
  <c r="C136" i="5"/>
  <c r="B136" i="5"/>
  <c r="A136" i="5"/>
  <c r="L135" i="5"/>
  <c r="J135" i="5"/>
  <c r="I135" i="5"/>
  <c r="H135" i="5"/>
  <c r="G135" i="5"/>
  <c r="F135" i="5"/>
  <c r="E135" i="5"/>
  <c r="D135" i="5"/>
  <c r="C135" i="5"/>
  <c r="B135" i="5"/>
  <c r="A135" i="5"/>
  <c r="K135" i="5" s="1" a="1"/>
  <c r="K135" i="5" s="1"/>
  <c r="L134" i="5"/>
  <c r="J134" i="5"/>
  <c r="I134" i="5"/>
  <c r="H134" i="5"/>
  <c r="G134" i="5"/>
  <c r="F134" i="5"/>
  <c r="E134" i="5"/>
  <c r="D134" i="5"/>
  <c r="C134" i="5"/>
  <c r="B134" i="5"/>
  <c r="A134" i="5"/>
  <c r="K134" i="5" s="1" a="1"/>
  <c r="K134" i="5" s="1"/>
  <c r="L133" i="5"/>
  <c r="K133" i="5" a="1"/>
  <c r="K133" i="5" s="1"/>
  <c r="J133" i="5"/>
  <c r="I133" i="5"/>
  <c r="H133" i="5"/>
  <c r="G133" i="5"/>
  <c r="F133" i="5"/>
  <c r="E133" i="5"/>
  <c r="D133" i="5"/>
  <c r="C133" i="5"/>
  <c r="B133" i="5"/>
  <c r="A133" i="5"/>
  <c r="L132" i="5"/>
  <c r="J132" i="5"/>
  <c r="I132" i="5"/>
  <c r="H132" i="5"/>
  <c r="G132" i="5"/>
  <c r="F132" i="5"/>
  <c r="E132" i="5"/>
  <c r="D132" i="5"/>
  <c r="C132" i="5"/>
  <c r="B132" i="5"/>
  <c r="A132" i="5"/>
  <c r="K132" i="5" s="1" a="1"/>
  <c r="K132" i="5" s="1"/>
  <c r="L131" i="5"/>
  <c r="J131" i="5"/>
  <c r="I131" i="5"/>
  <c r="H131" i="5"/>
  <c r="G131" i="5"/>
  <c r="F131" i="5"/>
  <c r="E131" i="5"/>
  <c r="D131" i="5"/>
  <c r="C131" i="5"/>
  <c r="B131" i="5"/>
  <c r="A131" i="5"/>
  <c r="K131" i="5" s="1" a="1"/>
  <c r="K131" i="5" s="1"/>
  <c r="L130" i="5"/>
  <c r="K130" i="5" a="1"/>
  <c r="K130" i="5"/>
  <c r="J130" i="5"/>
  <c r="I130" i="5"/>
  <c r="H130" i="5"/>
  <c r="G130" i="5"/>
  <c r="F130" i="5"/>
  <c r="E130" i="5"/>
  <c r="D130" i="5"/>
  <c r="C130" i="5"/>
  <c r="B130" i="5"/>
  <c r="A130" i="5"/>
  <c r="L129" i="5"/>
  <c r="J129" i="5"/>
  <c r="I129" i="5"/>
  <c r="H129" i="5"/>
  <c r="G129" i="5"/>
  <c r="F129" i="5"/>
  <c r="E129" i="5"/>
  <c r="D129" i="5"/>
  <c r="C129" i="5"/>
  <c r="B129" i="5"/>
  <c r="A129" i="5"/>
  <c r="K129" i="5" s="1" a="1"/>
  <c r="K129" i="5" s="1"/>
  <c r="L128" i="5"/>
  <c r="K128" i="5" a="1"/>
  <c r="K128" i="5" s="1"/>
  <c r="J128" i="5"/>
  <c r="I128" i="5"/>
  <c r="H128" i="5"/>
  <c r="G128" i="5"/>
  <c r="F128" i="5"/>
  <c r="E128" i="5"/>
  <c r="D128" i="5"/>
  <c r="C128" i="5"/>
  <c r="B128" i="5"/>
  <c r="A128" i="5"/>
  <c r="L127" i="5"/>
  <c r="J127" i="5"/>
  <c r="I127" i="5"/>
  <c r="H127" i="5"/>
  <c r="G127" i="5"/>
  <c r="F127" i="5"/>
  <c r="E127" i="5"/>
  <c r="D127" i="5"/>
  <c r="C127" i="5"/>
  <c r="B127" i="5"/>
  <c r="A127" i="5"/>
  <c r="K127" i="5" s="1" a="1"/>
  <c r="K127" i="5" s="1"/>
  <c r="L126" i="5"/>
  <c r="J126" i="5"/>
  <c r="I126" i="5"/>
  <c r="H126" i="5"/>
  <c r="G126" i="5"/>
  <c r="F126" i="5"/>
  <c r="E126" i="5"/>
  <c r="D126" i="5"/>
  <c r="C126" i="5"/>
  <c r="B126" i="5"/>
  <c r="A126" i="5"/>
  <c r="K126" i="5" s="1" a="1"/>
  <c r="K126" i="5" s="1"/>
  <c r="L125" i="5"/>
  <c r="K125" i="5" a="1"/>
  <c r="K125" i="5" s="1"/>
  <c r="J125" i="5"/>
  <c r="I125" i="5"/>
  <c r="H125" i="5"/>
  <c r="G125" i="5"/>
  <c r="F125" i="5"/>
  <c r="E125" i="5"/>
  <c r="D125" i="5"/>
  <c r="C125" i="5"/>
  <c r="B125" i="5"/>
  <c r="A125" i="5"/>
  <c r="L124" i="5"/>
  <c r="J124" i="5"/>
  <c r="I124" i="5"/>
  <c r="H124" i="5"/>
  <c r="G124" i="5"/>
  <c r="F124" i="5"/>
  <c r="E124" i="5"/>
  <c r="D124" i="5"/>
  <c r="C124" i="5"/>
  <c r="B124" i="5"/>
  <c r="A124" i="5"/>
  <c r="K124" i="5" s="1" a="1"/>
  <c r="K124" i="5" s="1"/>
  <c r="L123" i="5"/>
  <c r="J123" i="5"/>
  <c r="I123" i="5"/>
  <c r="H123" i="5"/>
  <c r="G123" i="5"/>
  <c r="F123" i="5"/>
  <c r="E123" i="5"/>
  <c r="D123" i="5"/>
  <c r="C123" i="5"/>
  <c r="B123" i="5"/>
  <c r="A123" i="5"/>
  <c r="K123" i="5" s="1" a="1"/>
  <c r="K123" i="5" s="1"/>
  <c r="L122" i="5"/>
  <c r="K122" i="5" a="1"/>
  <c r="K122" i="5"/>
  <c r="J122" i="5"/>
  <c r="I122" i="5"/>
  <c r="H122" i="5"/>
  <c r="G122" i="5"/>
  <c r="F122" i="5"/>
  <c r="E122" i="5"/>
  <c r="D122" i="5"/>
  <c r="C122" i="5"/>
  <c r="B122" i="5"/>
  <c r="A122" i="5"/>
  <c r="L121" i="5"/>
  <c r="J121" i="5"/>
  <c r="I121" i="5"/>
  <c r="H121" i="5"/>
  <c r="G121" i="5"/>
  <c r="F121" i="5"/>
  <c r="E121" i="5"/>
  <c r="D121" i="5"/>
  <c r="C121" i="5"/>
  <c r="B121" i="5"/>
  <c r="A121" i="5"/>
  <c r="K121" i="5" s="1" a="1"/>
  <c r="K121" i="5" s="1"/>
  <c r="L120" i="5"/>
  <c r="K120" i="5" a="1"/>
  <c r="K120" i="5" s="1"/>
  <c r="J120" i="5"/>
  <c r="I120" i="5"/>
  <c r="H120" i="5"/>
  <c r="G120" i="5"/>
  <c r="F120" i="5"/>
  <c r="E120" i="5"/>
  <c r="D120" i="5"/>
  <c r="C120" i="5"/>
  <c r="B120" i="5"/>
  <c r="A120" i="5"/>
  <c r="L119" i="5"/>
  <c r="J119" i="5"/>
  <c r="I119" i="5"/>
  <c r="H119" i="5"/>
  <c r="G119" i="5"/>
  <c r="F119" i="5"/>
  <c r="E119" i="5"/>
  <c r="D119" i="5"/>
  <c r="C119" i="5"/>
  <c r="B119" i="5"/>
  <c r="A119" i="5"/>
  <c r="K119" i="5" s="1" a="1"/>
  <c r="K119" i="5" s="1"/>
  <c r="L118" i="5"/>
  <c r="J118" i="5"/>
  <c r="I118" i="5"/>
  <c r="H118" i="5"/>
  <c r="G118" i="5"/>
  <c r="F118" i="5"/>
  <c r="E118" i="5"/>
  <c r="D118" i="5"/>
  <c r="C118" i="5"/>
  <c r="B118" i="5"/>
  <c r="A118" i="5"/>
  <c r="K118" i="5" s="1" a="1"/>
  <c r="K118" i="5" s="1"/>
  <c r="L117" i="5"/>
  <c r="K117" i="5" a="1"/>
  <c r="K117" i="5" s="1"/>
  <c r="J117" i="5"/>
  <c r="I117" i="5"/>
  <c r="H117" i="5"/>
  <c r="G117" i="5"/>
  <c r="F117" i="5"/>
  <c r="E117" i="5"/>
  <c r="D117" i="5"/>
  <c r="C117" i="5"/>
  <c r="B117" i="5"/>
  <c r="A117" i="5"/>
  <c r="L116" i="5"/>
  <c r="J116" i="5"/>
  <c r="I116" i="5"/>
  <c r="H116" i="5"/>
  <c r="G116" i="5"/>
  <c r="F116" i="5"/>
  <c r="E116" i="5"/>
  <c r="D116" i="5"/>
  <c r="C116" i="5"/>
  <c r="B116" i="5"/>
  <c r="A116" i="5"/>
  <c r="K116" i="5" s="1" a="1"/>
  <c r="K116" i="5" s="1"/>
  <c r="L115" i="5"/>
  <c r="J115" i="5"/>
  <c r="I115" i="5"/>
  <c r="H115" i="5"/>
  <c r="G115" i="5"/>
  <c r="F115" i="5"/>
  <c r="E115" i="5"/>
  <c r="D115" i="5"/>
  <c r="C115" i="5"/>
  <c r="B115" i="5"/>
  <c r="A115" i="5"/>
  <c r="K115" i="5" s="1" a="1"/>
  <c r="K115" i="5" s="1"/>
  <c r="L114" i="5"/>
  <c r="K114" i="5" a="1"/>
  <c r="K114" i="5"/>
  <c r="J114" i="5"/>
  <c r="I114" i="5"/>
  <c r="H114" i="5"/>
  <c r="G114" i="5"/>
  <c r="F114" i="5"/>
  <c r="E114" i="5"/>
  <c r="D114" i="5"/>
  <c r="C114" i="5"/>
  <c r="B114" i="5"/>
  <c r="A114" i="5"/>
  <c r="L113" i="5"/>
  <c r="K113" i="5"/>
  <c r="J113" i="5"/>
  <c r="I113" i="5"/>
  <c r="H113" i="5"/>
  <c r="G113" i="5"/>
  <c r="F113" i="5"/>
  <c r="E113" i="5"/>
  <c r="D113" i="5"/>
  <c r="C113" i="5"/>
  <c r="B113" i="5"/>
  <c r="A113" i="5"/>
  <c r="K113" i="5" s="1" a="1"/>
  <c r="L112" i="5"/>
  <c r="K112" i="5" a="1"/>
  <c r="K112" i="5" s="1"/>
  <c r="J112" i="5"/>
  <c r="I112" i="5"/>
  <c r="H112" i="5"/>
  <c r="G112" i="5"/>
  <c r="F112" i="5"/>
  <c r="E112" i="5"/>
  <c r="D112" i="5"/>
  <c r="C112" i="5"/>
  <c r="B112" i="5"/>
  <c r="A112" i="5"/>
  <c r="L111" i="5"/>
  <c r="J111" i="5"/>
  <c r="I111" i="5"/>
  <c r="H111" i="5"/>
  <c r="G111" i="5"/>
  <c r="F111" i="5"/>
  <c r="E111" i="5"/>
  <c r="D111" i="5"/>
  <c r="C111" i="5"/>
  <c r="B111" i="5"/>
  <c r="A111" i="5"/>
  <c r="K111" i="5" s="1" a="1"/>
  <c r="K111" i="5" s="1"/>
  <c r="L110" i="5"/>
  <c r="J110" i="5"/>
  <c r="I110" i="5"/>
  <c r="H110" i="5"/>
  <c r="G110" i="5"/>
  <c r="F110" i="5"/>
  <c r="E110" i="5"/>
  <c r="D110" i="5"/>
  <c r="C110" i="5"/>
  <c r="B110" i="5"/>
  <c r="A110" i="5"/>
  <c r="K110" i="5" s="1" a="1"/>
  <c r="K110" i="5" s="1"/>
  <c r="L109" i="5"/>
  <c r="K109" i="5" a="1"/>
  <c r="K109" i="5"/>
  <c r="J109" i="5"/>
  <c r="I109" i="5"/>
  <c r="H109" i="5"/>
  <c r="G109" i="5"/>
  <c r="F109" i="5"/>
  <c r="E109" i="5"/>
  <c r="D109" i="5"/>
  <c r="C109" i="5"/>
  <c r="B109" i="5"/>
  <c r="A109" i="5"/>
  <c r="L108" i="5"/>
  <c r="K108" i="5" a="1"/>
  <c r="K108" i="5" s="1"/>
  <c r="J108" i="5"/>
  <c r="I108" i="5"/>
  <c r="H108" i="5"/>
  <c r="G108" i="5"/>
  <c r="F108" i="5"/>
  <c r="E108" i="5"/>
  <c r="D108" i="5"/>
  <c r="C108" i="5"/>
  <c r="B108" i="5"/>
  <c r="A108" i="5"/>
  <c r="L107" i="5"/>
  <c r="J107" i="5"/>
  <c r="I107" i="5"/>
  <c r="H107" i="5"/>
  <c r="G107" i="5"/>
  <c r="F107" i="5"/>
  <c r="E107" i="5"/>
  <c r="D107" i="5"/>
  <c r="C107" i="5"/>
  <c r="B107" i="5"/>
  <c r="A107" i="5"/>
  <c r="K107" i="5" s="1" a="1"/>
  <c r="K107" i="5" s="1"/>
  <c r="L106" i="5"/>
  <c r="K106" i="5" a="1"/>
  <c r="K106" i="5" s="1"/>
  <c r="J106" i="5"/>
  <c r="I106" i="5"/>
  <c r="H106" i="5"/>
  <c r="G106" i="5"/>
  <c r="F106" i="5"/>
  <c r="E106" i="5"/>
  <c r="D106" i="5"/>
  <c r="C106" i="5"/>
  <c r="B106" i="5"/>
  <c r="A106" i="5"/>
  <c r="L105" i="5"/>
  <c r="J105" i="5"/>
  <c r="I105" i="5"/>
  <c r="H105" i="5"/>
  <c r="G105" i="5"/>
  <c r="F105" i="5"/>
  <c r="E105" i="5"/>
  <c r="D105" i="5"/>
  <c r="C105" i="5"/>
  <c r="B105" i="5"/>
  <c r="A105" i="5"/>
  <c r="K105" i="5" s="1" a="1"/>
  <c r="K105" i="5" s="1"/>
  <c r="L104" i="5"/>
  <c r="K104" i="5" a="1"/>
  <c r="K104" i="5" s="1"/>
  <c r="J104" i="5"/>
  <c r="I104" i="5"/>
  <c r="H104" i="5"/>
  <c r="G104" i="5"/>
  <c r="F104" i="5"/>
  <c r="E104" i="5"/>
  <c r="D104" i="5"/>
  <c r="C104" i="5"/>
  <c r="B104" i="5"/>
  <c r="A104" i="5"/>
  <c r="L103" i="5"/>
  <c r="J103" i="5"/>
  <c r="I103" i="5"/>
  <c r="H103" i="5"/>
  <c r="G103" i="5"/>
  <c r="F103" i="5"/>
  <c r="E103" i="5"/>
  <c r="D103" i="5"/>
  <c r="C103" i="5"/>
  <c r="B103" i="5"/>
  <c r="A103" i="5"/>
  <c r="K103" i="5" s="1" a="1"/>
  <c r="K103" i="5" s="1"/>
  <c r="L102" i="5"/>
  <c r="J102" i="5"/>
  <c r="I102" i="5"/>
  <c r="H102" i="5"/>
  <c r="G102" i="5"/>
  <c r="F102" i="5"/>
  <c r="E102" i="5"/>
  <c r="D102" i="5"/>
  <c r="C102" i="5"/>
  <c r="B102" i="5"/>
  <c r="A102" i="5"/>
  <c r="K102" i="5" s="1" a="1"/>
  <c r="K102" i="5" s="1"/>
  <c r="L101" i="5"/>
  <c r="K101" i="5" a="1"/>
  <c r="K101" i="5"/>
  <c r="J101" i="5"/>
  <c r="I101" i="5"/>
  <c r="H101" i="5"/>
  <c r="G101" i="5"/>
  <c r="F101" i="5"/>
  <c r="E101" i="5"/>
  <c r="D101" i="5"/>
  <c r="C101" i="5"/>
  <c r="B101" i="5"/>
  <c r="A101" i="5"/>
  <c r="L100" i="5"/>
  <c r="J100" i="5"/>
  <c r="I100" i="5"/>
  <c r="H100" i="5"/>
  <c r="G100" i="5"/>
  <c r="F100" i="5"/>
  <c r="E100" i="5"/>
  <c r="D100" i="5"/>
  <c r="C100" i="5"/>
  <c r="B100" i="5"/>
  <c r="A100" i="5"/>
  <c r="K100" i="5" s="1" a="1"/>
  <c r="K100" i="5" s="1"/>
  <c r="L99" i="5"/>
  <c r="J99" i="5"/>
  <c r="I99" i="5"/>
  <c r="H99" i="5"/>
  <c r="G99" i="5"/>
  <c r="F99" i="5"/>
  <c r="E99" i="5"/>
  <c r="D99" i="5"/>
  <c r="C99" i="5"/>
  <c r="B99" i="5"/>
  <c r="A99" i="5"/>
  <c r="K99" i="5" s="1" a="1"/>
  <c r="K99" i="5" s="1"/>
  <c r="L98" i="5"/>
  <c r="K98" i="5" a="1"/>
  <c r="K98" i="5"/>
  <c r="J98" i="5"/>
  <c r="I98" i="5"/>
  <c r="H98" i="5"/>
  <c r="G98" i="5"/>
  <c r="F98" i="5"/>
  <c r="E98" i="5"/>
  <c r="D98" i="5"/>
  <c r="C98" i="5"/>
  <c r="B98" i="5"/>
  <c r="A98" i="5"/>
  <c r="L97" i="5"/>
  <c r="K97" i="5"/>
  <c r="J97" i="5"/>
  <c r="I97" i="5"/>
  <c r="H97" i="5"/>
  <c r="G97" i="5"/>
  <c r="F97" i="5"/>
  <c r="E97" i="5"/>
  <c r="D97" i="5"/>
  <c r="C97" i="5"/>
  <c r="B97" i="5"/>
  <c r="A97" i="5"/>
  <c r="K97" i="5" s="1" a="1"/>
  <c r="L96" i="5"/>
  <c r="K96" i="5" a="1"/>
  <c r="K96" i="5" s="1"/>
  <c r="J96" i="5"/>
  <c r="I96" i="5"/>
  <c r="H96" i="5"/>
  <c r="G96" i="5"/>
  <c r="F96" i="5"/>
  <c r="E96" i="5"/>
  <c r="D96" i="5"/>
  <c r="C96" i="5"/>
  <c r="B96" i="5"/>
  <c r="A96" i="5"/>
  <c r="L95" i="5"/>
  <c r="K95" i="5" a="1"/>
  <c r="K95" i="5"/>
  <c r="J95" i="5"/>
  <c r="I95" i="5"/>
  <c r="H95" i="5"/>
  <c r="G95" i="5"/>
  <c r="F95" i="5"/>
  <c r="E95" i="5"/>
  <c r="D95" i="5"/>
  <c r="C95" i="5"/>
  <c r="B95" i="5"/>
  <c r="A95" i="5"/>
  <c r="L94" i="5"/>
  <c r="J94" i="5"/>
  <c r="I94" i="5"/>
  <c r="H94" i="5"/>
  <c r="G94" i="5"/>
  <c r="F94" i="5"/>
  <c r="E94" i="5"/>
  <c r="D94" i="5"/>
  <c r="C94" i="5"/>
  <c r="B94" i="5"/>
  <c r="A94" i="5"/>
  <c r="K94" i="5" s="1" a="1"/>
  <c r="K94" i="5" s="1"/>
  <c r="L93" i="5"/>
  <c r="K93" i="5" a="1"/>
  <c r="K93" i="5"/>
  <c r="J93" i="5"/>
  <c r="I93" i="5"/>
  <c r="H93" i="5"/>
  <c r="G93" i="5"/>
  <c r="F93" i="5"/>
  <c r="E93" i="5"/>
  <c r="D93" i="5"/>
  <c r="C93" i="5"/>
  <c r="B93" i="5"/>
  <c r="A93" i="5"/>
  <c r="L92" i="5"/>
  <c r="J92" i="5"/>
  <c r="I92" i="5"/>
  <c r="H92" i="5"/>
  <c r="G92" i="5"/>
  <c r="F92" i="5"/>
  <c r="E92" i="5"/>
  <c r="D92" i="5"/>
  <c r="C92" i="5"/>
  <c r="B92" i="5"/>
  <c r="A92" i="5"/>
  <c r="K92" i="5" s="1" a="1"/>
  <c r="K92" i="5" s="1"/>
  <c r="L91" i="5"/>
  <c r="J91" i="5"/>
  <c r="I91" i="5"/>
  <c r="H91" i="5"/>
  <c r="G91" i="5"/>
  <c r="F91" i="5"/>
  <c r="E91" i="5"/>
  <c r="D91" i="5"/>
  <c r="C91" i="5"/>
  <c r="B91" i="5"/>
  <c r="A91" i="5"/>
  <c r="K91" i="5" s="1" a="1"/>
  <c r="K91" i="5" s="1"/>
  <c r="L90" i="5"/>
  <c r="K90" i="5" a="1"/>
  <c r="K90" i="5" s="1"/>
  <c r="J90" i="5"/>
  <c r="I90" i="5"/>
  <c r="H90" i="5"/>
  <c r="G90" i="5"/>
  <c r="F90" i="5"/>
  <c r="E90" i="5"/>
  <c r="D90" i="5"/>
  <c r="C90" i="5"/>
  <c r="B90" i="5"/>
  <c r="A90" i="5"/>
  <c r="L89" i="5"/>
  <c r="K89" i="5"/>
  <c r="J89" i="5"/>
  <c r="I89" i="5"/>
  <c r="H89" i="5"/>
  <c r="G89" i="5"/>
  <c r="F89" i="5"/>
  <c r="E89" i="5"/>
  <c r="D89" i="5"/>
  <c r="C89" i="5"/>
  <c r="B89" i="5"/>
  <c r="A89" i="5"/>
  <c r="K89" i="5" s="1" a="1"/>
  <c r="L88" i="5"/>
  <c r="K88" i="5" a="1"/>
  <c r="K88" i="5" s="1"/>
  <c r="J88" i="5"/>
  <c r="I88" i="5"/>
  <c r="H88" i="5"/>
  <c r="G88" i="5"/>
  <c r="F88" i="5"/>
  <c r="E88" i="5"/>
  <c r="D88" i="5"/>
  <c r="C88" i="5"/>
  <c r="B88" i="5"/>
  <c r="A88" i="5"/>
  <c r="L87" i="5"/>
  <c r="J87" i="5"/>
  <c r="I87" i="5"/>
  <c r="H87" i="5"/>
  <c r="G87" i="5"/>
  <c r="F87" i="5"/>
  <c r="E87" i="5"/>
  <c r="D87" i="5"/>
  <c r="C87" i="5"/>
  <c r="B87" i="5"/>
  <c r="A87" i="5"/>
  <c r="K87" i="5" s="1" a="1"/>
  <c r="K87" i="5" s="1"/>
  <c r="L86" i="5"/>
  <c r="J86" i="5"/>
  <c r="I86" i="5"/>
  <c r="H86" i="5"/>
  <c r="G86" i="5"/>
  <c r="F86" i="5"/>
  <c r="E86" i="5"/>
  <c r="D86" i="5"/>
  <c r="C86" i="5"/>
  <c r="B86" i="5"/>
  <c r="A86" i="5"/>
  <c r="K86" i="5" s="1" a="1"/>
  <c r="K86" i="5" s="1"/>
  <c r="L85" i="5"/>
  <c r="K85" i="5" a="1"/>
  <c r="K85" i="5" s="1"/>
  <c r="J85" i="5"/>
  <c r="I85" i="5"/>
  <c r="H85" i="5"/>
  <c r="G85" i="5"/>
  <c r="F85" i="5"/>
  <c r="E85" i="5"/>
  <c r="D85" i="5"/>
  <c r="C85" i="5"/>
  <c r="B85" i="5"/>
  <c r="A85" i="5"/>
  <c r="L84" i="5"/>
  <c r="J84" i="5"/>
  <c r="I84" i="5"/>
  <c r="H84" i="5"/>
  <c r="G84" i="5"/>
  <c r="F84" i="5"/>
  <c r="E84" i="5"/>
  <c r="D84" i="5"/>
  <c r="C84" i="5"/>
  <c r="B84" i="5"/>
  <c r="A84" i="5"/>
  <c r="K84" i="5" s="1" a="1"/>
  <c r="K84" i="5" s="1"/>
  <c r="L83" i="5"/>
  <c r="J83" i="5"/>
  <c r="I83" i="5"/>
  <c r="H83" i="5"/>
  <c r="G83" i="5"/>
  <c r="F83" i="5"/>
  <c r="E83" i="5"/>
  <c r="D83" i="5"/>
  <c r="C83" i="5"/>
  <c r="B83" i="5"/>
  <c r="A83" i="5"/>
  <c r="K83" i="5" s="1" a="1"/>
  <c r="K83" i="5" s="1"/>
  <c r="L82" i="5"/>
  <c r="K82" i="5" a="1"/>
  <c r="K82" i="5"/>
  <c r="J82" i="5"/>
  <c r="I82" i="5"/>
  <c r="H82" i="5"/>
  <c r="G82" i="5"/>
  <c r="F82" i="5"/>
  <c r="E82" i="5"/>
  <c r="D82" i="5"/>
  <c r="C82" i="5"/>
  <c r="B82" i="5"/>
  <c r="A82" i="5"/>
  <c r="L81" i="5"/>
  <c r="K81" i="5"/>
  <c r="J81" i="5"/>
  <c r="I81" i="5"/>
  <c r="H81" i="5"/>
  <c r="G81" i="5"/>
  <c r="F81" i="5"/>
  <c r="E81" i="5"/>
  <c r="D81" i="5"/>
  <c r="C81" i="5"/>
  <c r="B81" i="5"/>
  <c r="A81" i="5"/>
  <c r="K81" i="5" s="1" a="1"/>
  <c r="L80" i="5"/>
  <c r="K80" i="5" a="1"/>
  <c r="K80" i="5" s="1"/>
  <c r="J80" i="5"/>
  <c r="I80" i="5"/>
  <c r="H80" i="5"/>
  <c r="G80" i="5"/>
  <c r="F80" i="5"/>
  <c r="E80" i="5"/>
  <c r="D80" i="5"/>
  <c r="C80" i="5"/>
  <c r="B80" i="5"/>
  <c r="A80" i="5"/>
  <c r="L79" i="5"/>
  <c r="J79" i="5"/>
  <c r="I79" i="5"/>
  <c r="H79" i="5"/>
  <c r="G79" i="5"/>
  <c r="F79" i="5"/>
  <c r="E79" i="5"/>
  <c r="D79" i="5"/>
  <c r="C79" i="5"/>
  <c r="B79" i="5"/>
  <c r="A79" i="5"/>
  <c r="K79" i="5" s="1" a="1"/>
  <c r="K79" i="5" s="1"/>
  <c r="L78" i="5"/>
  <c r="J78" i="5"/>
  <c r="I78" i="5"/>
  <c r="H78" i="5"/>
  <c r="G78" i="5"/>
  <c r="F78" i="5"/>
  <c r="E78" i="5"/>
  <c r="D78" i="5"/>
  <c r="C78" i="5"/>
  <c r="B78" i="5"/>
  <c r="A78" i="5"/>
  <c r="K78" i="5" s="1" a="1"/>
  <c r="K78" i="5" s="1"/>
  <c r="L77" i="5"/>
  <c r="K77" i="5" a="1"/>
  <c r="K77" i="5"/>
  <c r="J77" i="5"/>
  <c r="I77" i="5"/>
  <c r="H77" i="5"/>
  <c r="G77" i="5"/>
  <c r="F77" i="5"/>
  <c r="E77" i="5"/>
  <c r="D77" i="5"/>
  <c r="C77" i="5"/>
  <c r="B77" i="5"/>
  <c r="A77" i="5"/>
  <c r="L76" i="5"/>
  <c r="K76" i="5" a="1"/>
  <c r="K76" i="5" s="1"/>
  <c r="J76" i="5"/>
  <c r="I76" i="5"/>
  <c r="H76" i="5"/>
  <c r="G76" i="5"/>
  <c r="F76" i="5"/>
  <c r="E76" i="5"/>
  <c r="D76" i="5"/>
  <c r="C76" i="5"/>
  <c r="B76" i="5"/>
  <c r="A76" i="5"/>
  <c r="L75" i="5"/>
  <c r="J75" i="5"/>
  <c r="I75" i="5"/>
  <c r="H75" i="5"/>
  <c r="G75" i="5"/>
  <c r="F75" i="5"/>
  <c r="E75" i="5"/>
  <c r="D75" i="5"/>
  <c r="C75" i="5"/>
  <c r="B75" i="5"/>
  <c r="A75" i="5"/>
  <c r="K75" i="5" s="1" a="1"/>
  <c r="K75" i="5" s="1"/>
  <c r="L74" i="5"/>
  <c r="K74" i="5" a="1"/>
  <c r="K74" i="5" s="1"/>
  <c r="J74" i="5"/>
  <c r="I74" i="5"/>
  <c r="H74" i="5"/>
  <c r="G74" i="5"/>
  <c r="F74" i="5"/>
  <c r="E74" i="5"/>
  <c r="D74" i="5"/>
  <c r="C74" i="5"/>
  <c r="B74" i="5"/>
  <c r="A74" i="5"/>
  <c r="L73" i="5"/>
  <c r="J73" i="5"/>
  <c r="I73" i="5"/>
  <c r="H73" i="5"/>
  <c r="G73" i="5"/>
  <c r="F73" i="5"/>
  <c r="E73" i="5"/>
  <c r="D73" i="5"/>
  <c r="C73" i="5"/>
  <c r="B73" i="5"/>
  <c r="A73" i="5"/>
  <c r="K73" i="5" s="1" a="1"/>
  <c r="K73" i="5" s="1"/>
  <c r="L72" i="5"/>
  <c r="K72" i="5" a="1"/>
  <c r="K72" i="5" s="1"/>
  <c r="J72" i="5"/>
  <c r="I72" i="5"/>
  <c r="H72" i="5"/>
  <c r="G72" i="5"/>
  <c r="F72" i="5"/>
  <c r="E72" i="5"/>
  <c r="D72" i="5"/>
  <c r="C72" i="5"/>
  <c r="B72" i="5"/>
  <c r="A72" i="5"/>
  <c r="L71" i="5"/>
  <c r="J71" i="5"/>
  <c r="I71" i="5"/>
  <c r="H71" i="5"/>
  <c r="G71" i="5"/>
  <c r="F71" i="5"/>
  <c r="E71" i="5"/>
  <c r="D71" i="5"/>
  <c r="C71" i="5"/>
  <c r="B71" i="5"/>
  <c r="A71" i="5"/>
  <c r="K71" i="5" s="1" a="1"/>
  <c r="K71" i="5" s="1"/>
  <c r="L70" i="5"/>
  <c r="J70" i="5"/>
  <c r="I70" i="5"/>
  <c r="H70" i="5"/>
  <c r="G70" i="5"/>
  <c r="F70" i="5"/>
  <c r="E70" i="5"/>
  <c r="D70" i="5"/>
  <c r="C70" i="5"/>
  <c r="B70" i="5"/>
  <c r="A70" i="5"/>
  <c r="K70" i="5" s="1" a="1"/>
  <c r="K70" i="5" s="1"/>
  <c r="L69" i="5"/>
  <c r="K69" i="5" a="1"/>
  <c r="K69" i="5"/>
  <c r="J69" i="5"/>
  <c r="I69" i="5"/>
  <c r="H69" i="5"/>
  <c r="G69" i="5"/>
  <c r="F69" i="5"/>
  <c r="E69" i="5"/>
  <c r="D69" i="5"/>
  <c r="C69" i="5"/>
  <c r="B69" i="5"/>
  <c r="A69" i="5"/>
  <c r="L68" i="5"/>
  <c r="J68" i="5"/>
  <c r="I68" i="5"/>
  <c r="H68" i="5"/>
  <c r="G68" i="5"/>
  <c r="F68" i="5"/>
  <c r="E68" i="5"/>
  <c r="D68" i="5"/>
  <c r="C68" i="5"/>
  <c r="B68" i="5"/>
  <c r="A68" i="5"/>
  <c r="K68" i="5" s="1" a="1"/>
  <c r="K68" i="5" s="1"/>
  <c r="L67" i="5"/>
  <c r="J67" i="5"/>
  <c r="I67" i="5"/>
  <c r="H67" i="5"/>
  <c r="G67" i="5"/>
  <c r="F67" i="5"/>
  <c r="E67" i="5"/>
  <c r="D67" i="5"/>
  <c r="C67" i="5"/>
  <c r="B67" i="5"/>
  <c r="A67" i="5"/>
  <c r="K67" i="5" s="1" a="1"/>
  <c r="K67" i="5" s="1"/>
  <c r="L66" i="5"/>
  <c r="K66" i="5" a="1"/>
  <c r="K66" i="5"/>
  <c r="J66" i="5"/>
  <c r="I66" i="5"/>
  <c r="H66" i="5"/>
  <c r="G66" i="5"/>
  <c r="F66" i="5"/>
  <c r="E66" i="5"/>
  <c r="D66" i="5"/>
  <c r="C66" i="5"/>
  <c r="B66" i="5"/>
  <c r="A66" i="5"/>
  <c r="L65" i="5"/>
  <c r="K65" i="5"/>
  <c r="J65" i="5"/>
  <c r="I65" i="5"/>
  <c r="H65" i="5"/>
  <c r="G65" i="5"/>
  <c r="F65" i="5"/>
  <c r="E65" i="5"/>
  <c r="D65" i="5"/>
  <c r="C65" i="5"/>
  <c r="B65" i="5"/>
  <c r="A65" i="5"/>
  <c r="K65" i="5" s="1" a="1"/>
  <c r="L64" i="5"/>
  <c r="K64" i="5" a="1"/>
  <c r="K64" i="5" s="1"/>
  <c r="J64" i="5"/>
  <c r="I64" i="5"/>
  <c r="H64" i="5"/>
  <c r="G64" i="5"/>
  <c r="F64" i="5"/>
  <c r="E64" i="5"/>
  <c r="D64" i="5"/>
  <c r="C64" i="5"/>
  <c r="B64" i="5"/>
  <c r="A64" i="5"/>
  <c r="L63" i="5"/>
  <c r="K63" i="5" a="1"/>
  <c r="K63" i="5"/>
  <c r="J63" i="5"/>
  <c r="I63" i="5"/>
  <c r="H63" i="5"/>
  <c r="G63" i="5"/>
  <c r="F63" i="5"/>
  <c r="E63" i="5"/>
  <c r="D63" i="5"/>
  <c r="C63" i="5"/>
  <c r="B63" i="5"/>
  <c r="A63" i="5"/>
  <c r="L62" i="5"/>
  <c r="J62" i="5"/>
  <c r="I62" i="5"/>
  <c r="H62" i="5"/>
  <c r="G62" i="5"/>
  <c r="F62" i="5"/>
  <c r="E62" i="5"/>
  <c r="D62" i="5"/>
  <c r="C62" i="5"/>
  <c r="B62" i="5"/>
  <c r="A62" i="5"/>
  <c r="K62" i="5" s="1" a="1"/>
  <c r="K62" i="5" s="1"/>
  <c r="L61" i="5"/>
  <c r="K61" i="5" a="1"/>
  <c r="K61" i="5"/>
  <c r="J61" i="5"/>
  <c r="I61" i="5"/>
  <c r="H61" i="5"/>
  <c r="G61" i="5"/>
  <c r="F61" i="5"/>
  <c r="E61" i="5"/>
  <c r="D61" i="5"/>
  <c r="C61" i="5"/>
  <c r="B61" i="5"/>
  <c r="A61" i="5"/>
  <c r="L60" i="5"/>
  <c r="J60" i="5"/>
  <c r="I60" i="5"/>
  <c r="H60" i="5"/>
  <c r="G60" i="5"/>
  <c r="F60" i="5"/>
  <c r="E60" i="5"/>
  <c r="D60" i="5"/>
  <c r="C60" i="5"/>
  <c r="B60" i="5"/>
  <c r="A60" i="5"/>
  <c r="K60" i="5" s="1" a="1"/>
  <c r="K60" i="5" s="1"/>
  <c r="L59" i="5"/>
  <c r="J59" i="5"/>
  <c r="I59" i="5"/>
  <c r="H59" i="5"/>
  <c r="G59" i="5"/>
  <c r="F59" i="5"/>
  <c r="E59" i="5"/>
  <c r="D59" i="5"/>
  <c r="C59" i="5"/>
  <c r="B59" i="5"/>
  <c r="A59" i="5"/>
  <c r="K59" i="5" s="1" a="1"/>
  <c r="K59" i="5" s="1"/>
  <c r="L58" i="5"/>
  <c r="K58" i="5" a="1"/>
  <c r="K58" i="5" s="1"/>
  <c r="J58" i="5"/>
  <c r="I58" i="5"/>
  <c r="H58" i="5"/>
  <c r="G58" i="5"/>
  <c r="F58" i="5"/>
  <c r="E58" i="5"/>
  <c r="D58" i="5"/>
  <c r="C58" i="5"/>
  <c r="B58" i="5"/>
  <c r="A58" i="5"/>
  <c r="L57" i="5"/>
  <c r="K57" i="5"/>
  <c r="J57" i="5"/>
  <c r="I57" i="5"/>
  <c r="H57" i="5"/>
  <c r="G57" i="5"/>
  <c r="F57" i="5"/>
  <c r="E57" i="5"/>
  <c r="D57" i="5"/>
  <c r="C57" i="5"/>
  <c r="B57" i="5"/>
  <c r="A57" i="5"/>
  <c r="K57" i="5" s="1" a="1"/>
  <c r="L56" i="5"/>
  <c r="K56" i="5" a="1"/>
  <c r="K56" i="5" s="1"/>
  <c r="J56" i="5"/>
  <c r="I56" i="5"/>
  <c r="H56" i="5"/>
  <c r="G56" i="5"/>
  <c r="F56" i="5"/>
  <c r="E56" i="5"/>
  <c r="D56" i="5"/>
  <c r="C56" i="5"/>
  <c r="B56" i="5"/>
  <c r="A56" i="5"/>
  <c r="L55" i="5"/>
  <c r="J55" i="5"/>
  <c r="I55" i="5"/>
  <c r="H55" i="5"/>
  <c r="G55" i="5"/>
  <c r="F55" i="5"/>
  <c r="E55" i="5"/>
  <c r="D55" i="5"/>
  <c r="C55" i="5"/>
  <c r="B55" i="5"/>
  <c r="A55" i="5"/>
  <c r="K55" i="5" s="1" a="1"/>
  <c r="K55" i="5" s="1"/>
  <c r="L54" i="5"/>
  <c r="J54" i="5"/>
  <c r="I54" i="5"/>
  <c r="H54" i="5"/>
  <c r="G54" i="5"/>
  <c r="F54" i="5"/>
  <c r="E54" i="5"/>
  <c r="D54" i="5"/>
  <c r="C54" i="5"/>
  <c r="B54" i="5"/>
  <c r="A54" i="5"/>
  <c r="K54" i="5" s="1" a="1"/>
  <c r="K54" i="5" s="1"/>
  <c r="L53" i="5"/>
  <c r="J53" i="5"/>
  <c r="I53" i="5"/>
  <c r="H53" i="5"/>
  <c r="G53" i="5"/>
  <c r="F53" i="5"/>
  <c r="E53" i="5"/>
  <c r="D53" i="5"/>
  <c r="C53" i="5"/>
  <c r="B53" i="5"/>
  <c r="A53" i="5"/>
  <c r="K53" i="5" s="1" a="1"/>
  <c r="K53" i="5" s="1"/>
  <c r="L52" i="5"/>
  <c r="J52" i="5"/>
  <c r="I52" i="5"/>
  <c r="H52" i="5"/>
  <c r="G52" i="5"/>
  <c r="F52" i="5"/>
  <c r="E52" i="5"/>
  <c r="D52" i="5"/>
  <c r="C52" i="5"/>
  <c r="B52" i="5"/>
  <c r="A52" i="5"/>
  <c r="K52" i="5" s="1" a="1"/>
  <c r="K52" i="5" s="1"/>
  <c r="L51" i="5"/>
  <c r="J51" i="5"/>
  <c r="I51" i="5"/>
  <c r="H51" i="5"/>
  <c r="G51" i="5"/>
  <c r="F51" i="5"/>
  <c r="E51" i="5"/>
  <c r="D51" i="5"/>
  <c r="C51" i="5"/>
  <c r="B51" i="5"/>
  <c r="A51" i="5"/>
  <c r="K51" i="5" s="1" a="1"/>
  <c r="K51" i="5" s="1"/>
  <c r="L50" i="5"/>
  <c r="K50" i="5" a="1"/>
  <c r="K50" i="5" s="1"/>
  <c r="J50" i="5"/>
  <c r="I50" i="5"/>
  <c r="H50" i="5"/>
  <c r="G50" i="5"/>
  <c r="F50" i="5"/>
  <c r="E50" i="5"/>
  <c r="D50" i="5"/>
  <c r="C50" i="5"/>
  <c r="B50" i="5"/>
  <c r="A50" i="5"/>
  <c r="L49" i="5"/>
  <c r="J49" i="5"/>
  <c r="I49" i="5"/>
  <c r="H49" i="5"/>
  <c r="G49" i="5"/>
  <c r="F49" i="5"/>
  <c r="E49" i="5"/>
  <c r="D49" i="5"/>
  <c r="C49" i="5"/>
  <c r="B49" i="5"/>
  <c r="A49" i="5"/>
  <c r="K49" i="5" s="1" a="1"/>
  <c r="K49" i="5" s="1"/>
  <c r="L48" i="5"/>
  <c r="J48" i="5"/>
  <c r="I48" i="5"/>
  <c r="H48" i="5"/>
  <c r="G48" i="5"/>
  <c r="F48" i="5"/>
  <c r="E48" i="5"/>
  <c r="D48" i="5"/>
  <c r="C48" i="5"/>
  <c r="B48" i="5"/>
  <c r="A48" i="5"/>
  <c r="K48" i="5" s="1" a="1"/>
  <c r="K48" i="5" s="1"/>
  <c r="L47" i="5"/>
  <c r="K47" i="5" a="1"/>
  <c r="K47" i="5"/>
  <c r="J47" i="5"/>
  <c r="I47" i="5"/>
  <c r="H47" i="5"/>
  <c r="G47" i="5"/>
  <c r="F47" i="5"/>
  <c r="E47" i="5"/>
  <c r="D47" i="5"/>
  <c r="C47" i="5"/>
  <c r="B47" i="5"/>
  <c r="A47" i="5"/>
  <c r="L46" i="5"/>
  <c r="J46" i="5"/>
  <c r="I46" i="5"/>
  <c r="H46" i="5"/>
  <c r="G46" i="5"/>
  <c r="F46" i="5"/>
  <c r="E46" i="5"/>
  <c r="D46" i="5"/>
  <c r="C46" i="5"/>
  <c r="B46" i="5"/>
  <c r="A46" i="5"/>
  <c r="K46" i="5" s="1" a="1"/>
  <c r="K46" i="5" s="1"/>
  <c r="L45" i="5"/>
  <c r="J45" i="5"/>
  <c r="I45" i="5"/>
  <c r="H45" i="5"/>
  <c r="G45" i="5"/>
  <c r="F45" i="5"/>
  <c r="E45" i="5"/>
  <c r="D45" i="5"/>
  <c r="C45" i="5"/>
  <c r="B45" i="5"/>
  <c r="A45" i="5"/>
  <c r="K45" i="5" s="1" a="1"/>
  <c r="K45" i="5" s="1"/>
  <c r="L44" i="5"/>
  <c r="J44" i="5"/>
  <c r="I44" i="5"/>
  <c r="H44" i="5"/>
  <c r="G44" i="5"/>
  <c r="F44" i="5"/>
  <c r="E44" i="5"/>
  <c r="D44" i="5"/>
  <c r="C44" i="5"/>
  <c r="B44" i="5"/>
  <c r="A44" i="5"/>
  <c r="K44" i="5" s="1" a="1"/>
  <c r="K44" i="5" s="1"/>
  <c r="L43" i="5"/>
  <c r="J43" i="5"/>
  <c r="I43" i="5"/>
  <c r="H43" i="5"/>
  <c r="G43" i="5"/>
  <c r="F43" i="5"/>
  <c r="E43" i="5"/>
  <c r="D43" i="5"/>
  <c r="C43" i="5"/>
  <c r="B43" i="5"/>
  <c r="A43" i="5"/>
  <c r="K43" i="5" s="1" a="1"/>
  <c r="K43" i="5" s="1"/>
  <c r="L42" i="5"/>
  <c r="K42" i="5" a="1"/>
  <c r="K42" i="5" s="1"/>
  <c r="J42" i="5"/>
  <c r="I42" i="5"/>
  <c r="H42" i="5"/>
  <c r="G42" i="5"/>
  <c r="F42" i="5"/>
  <c r="E42" i="5"/>
  <c r="D42" i="5"/>
  <c r="C42" i="5"/>
  <c r="B42" i="5"/>
  <c r="A42" i="5"/>
  <c r="L41" i="5"/>
  <c r="J41" i="5"/>
  <c r="I41" i="5"/>
  <c r="H41" i="5"/>
  <c r="G41" i="5"/>
  <c r="F41" i="5"/>
  <c r="E41" i="5"/>
  <c r="D41" i="5"/>
  <c r="C41" i="5"/>
  <c r="B41" i="5"/>
  <c r="A41" i="5"/>
  <c r="K41" i="5" s="1" a="1"/>
  <c r="K41" i="5" s="1"/>
  <c r="L40" i="5"/>
  <c r="J40" i="5"/>
  <c r="I40" i="5"/>
  <c r="H40" i="5"/>
  <c r="G40" i="5"/>
  <c r="F40" i="5"/>
  <c r="E40" i="5"/>
  <c r="D40" i="5"/>
  <c r="C40" i="5"/>
  <c r="B40" i="5"/>
  <c r="A40" i="5"/>
  <c r="K40" i="5" s="1" a="1"/>
  <c r="K40" i="5" s="1"/>
  <c r="L39" i="5"/>
  <c r="K39" i="5" a="1"/>
  <c r="K39" i="5"/>
  <c r="J39" i="5"/>
  <c r="I39" i="5"/>
  <c r="H39" i="5"/>
  <c r="G39" i="5"/>
  <c r="F39" i="5"/>
  <c r="E39" i="5"/>
  <c r="D39" i="5"/>
  <c r="C39" i="5"/>
  <c r="B39" i="5"/>
  <c r="A39" i="5"/>
  <c r="L38" i="5"/>
  <c r="J38" i="5"/>
  <c r="I38" i="5"/>
  <c r="H38" i="5"/>
  <c r="G38" i="5"/>
  <c r="F38" i="5"/>
  <c r="E38" i="5"/>
  <c r="D38" i="5"/>
  <c r="C38" i="5"/>
  <c r="B38" i="5"/>
  <c r="A38" i="5"/>
  <c r="K38" i="5" s="1" a="1"/>
  <c r="K38" i="5" s="1"/>
  <c r="L37" i="5"/>
  <c r="J37" i="5"/>
  <c r="I37" i="5"/>
  <c r="H37" i="5"/>
  <c r="G37" i="5"/>
  <c r="F37" i="5"/>
  <c r="E37" i="5"/>
  <c r="D37" i="5"/>
  <c r="C37" i="5"/>
  <c r="B37" i="5"/>
  <c r="A37" i="5"/>
  <c r="K37" i="5" s="1" a="1"/>
  <c r="K37" i="5" s="1"/>
  <c r="L36" i="5"/>
  <c r="J36" i="5"/>
  <c r="I36" i="5"/>
  <c r="H36" i="5"/>
  <c r="G36" i="5"/>
  <c r="F36" i="5"/>
  <c r="E36" i="5"/>
  <c r="D36" i="5"/>
  <c r="C36" i="5"/>
  <c r="B36" i="5"/>
  <c r="A36" i="5"/>
  <c r="K36" i="5" s="1" a="1"/>
  <c r="K36" i="5" s="1"/>
  <c r="L35" i="5"/>
  <c r="J35" i="5"/>
  <c r="I35" i="5"/>
  <c r="H35" i="5"/>
  <c r="G35" i="5"/>
  <c r="F35" i="5"/>
  <c r="E35" i="5"/>
  <c r="D35" i="5"/>
  <c r="C35" i="5"/>
  <c r="B35" i="5"/>
  <c r="A35" i="5"/>
  <c r="K35" i="5" s="1" a="1"/>
  <c r="K35" i="5" s="1"/>
  <c r="L34" i="5"/>
  <c r="K34" i="5" a="1"/>
  <c r="K34" i="5" s="1"/>
  <c r="J34" i="5"/>
  <c r="I34" i="5"/>
  <c r="H34" i="5"/>
  <c r="G34" i="5"/>
  <c r="F34" i="5"/>
  <c r="E34" i="5"/>
  <c r="D34" i="5"/>
  <c r="C34" i="5"/>
  <c r="B34" i="5"/>
  <c r="A34" i="5"/>
  <c r="L33" i="5"/>
  <c r="J33" i="5"/>
  <c r="I33" i="5"/>
  <c r="H33" i="5"/>
  <c r="G33" i="5"/>
  <c r="F33" i="5"/>
  <c r="E33" i="5"/>
  <c r="D33" i="5"/>
  <c r="C33" i="5"/>
  <c r="B33" i="5"/>
  <c r="A33" i="5"/>
  <c r="K33" i="5" s="1" a="1"/>
  <c r="K33" i="5" s="1"/>
  <c r="L32" i="5"/>
  <c r="J32" i="5"/>
  <c r="I32" i="5"/>
  <c r="H32" i="5"/>
  <c r="G32" i="5"/>
  <c r="F32" i="5"/>
  <c r="E32" i="5"/>
  <c r="D32" i="5"/>
  <c r="C32" i="5"/>
  <c r="B32" i="5"/>
  <c r="A32" i="5"/>
  <c r="K32" i="5" s="1" a="1"/>
  <c r="K32" i="5" s="1"/>
  <c r="L31" i="5"/>
  <c r="K31" i="5" a="1"/>
  <c r="K31" i="5"/>
  <c r="J31" i="5"/>
  <c r="I31" i="5"/>
  <c r="H31" i="5"/>
  <c r="G31" i="5"/>
  <c r="F31" i="5"/>
  <c r="E31" i="5"/>
  <c r="D31" i="5"/>
  <c r="C31" i="5"/>
  <c r="B31" i="5"/>
  <c r="A31" i="5"/>
  <c r="L30" i="5"/>
  <c r="J30" i="5"/>
  <c r="I30" i="5"/>
  <c r="H30" i="5"/>
  <c r="G30" i="5"/>
  <c r="F30" i="5"/>
  <c r="E30" i="5"/>
  <c r="D30" i="5"/>
  <c r="C30" i="5"/>
  <c r="B30" i="5"/>
  <c r="A30" i="5"/>
  <c r="K30" i="5" s="1" a="1"/>
  <c r="K30" i="5" s="1"/>
  <c r="L29" i="5"/>
  <c r="J29" i="5"/>
  <c r="I29" i="5"/>
  <c r="H29" i="5"/>
  <c r="G29" i="5"/>
  <c r="F29" i="5"/>
  <c r="E29" i="5"/>
  <c r="D29" i="5"/>
  <c r="C29" i="5"/>
  <c r="B29" i="5"/>
  <c r="A29" i="5"/>
  <c r="K29" i="5" s="1" a="1"/>
  <c r="K29" i="5" s="1"/>
  <c r="L28" i="5"/>
  <c r="J28" i="5"/>
  <c r="I28" i="5"/>
  <c r="H28" i="5"/>
  <c r="G28" i="5"/>
  <c r="F28" i="5"/>
  <c r="E28" i="5"/>
  <c r="D28" i="5"/>
  <c r="C28" i="5"/>
  <c r="B28" i="5"/>
  <c r="A28" i="5"/>
  <c r="K28" i="5" s="1" a="1"/>
  <c r="K28" i="5" s="1"/>
  <c r="L27" i="5"/>
  <c r="J27" i="5"/>
  <c r="I27" i="5"/>
  <c r="H27" i="5"/>
  <c r="G27" i="5"/>
  <c r="F27" i="5"/>
  <c r="E27" i="5"/>
  <c r="D27" i="5"/>
  <c r="C27" i="5"/>
  <c r="B27" i="5"/>
  <c r="A27" i="5"/>
  <c r="K27" i="5" s="1" a="1"/>
  <c r="K27" i="5" s="1"/>
  <c r="L26" i="5"/>
  <c r="K26" i="5" a="1"/>
  <c r="K26" i="5" s="1"/>
  <c r="J26" i="5"/>
  <c r="I26" i="5"/>
  <c r="H26" i="5"/>
  <c r="G26" i="5"/>
  <c r="F26" i="5"/>
  <c r="E26" i="5"/>
  <c r="D26" i="5"/>
  <c r="C26" i="5"/>
  <c r="B26" i="5"/>
  <c r="A26" i="5"/>
  <c r="L25" i="5"/>
  <c r="J25" i="5"/>
  <c r="I25" i="5"/>
  <c r="H25" i="5"/>
  <c r="G25" i="5"/>
  <c r="F25" i="5"/>
  <c r="E25" i="5"/>
  <c r="D25" i="5"/>
  <c r="C25" i="5"/>
  <c r="B25" i="5"/>
  <c r="A25" i="5"/>
  <c r="K25" i="5" s="1" a="1"/>
  <c r="K25" i="5" s="1"/>
  <c r="L24" i="5"/>
  <c r="J24" i="5"/>
  <c r="I24" i="5"/>
  <c r="H24" i="5"/>
  <c r="G24" i="5"/>
  <c r="F24" i="5"/>
  <c r="E24" i="5"/>
  <c r="D24" i="5"/>
  <c r="C24" i="5"/>
  <c r="B24" i="5"/>
  <c r="A24" i="5"/>
  <c r="K24" i="5" s="1" a="1"/>
  <c r="K24" i="5" s="1"/>
  <c r="L23" i="5"/>
  <c r="K23" i="5" a="1"/>
  <c r="K23" i="5"/>
  <c r="J23" i="5"/>
  <c r="I23" i="5"/>
  <c r="H23" i="5"/>
  <c r="G23" i="5"/>
  <c r="F23" i="5"/>
  <c r="E23" i="5"/>
  <c r="D23" i="5"/>
  <c r="C23" i="5"/>
  <c r="B23" i="5"/>
  <c r="A23" i="5"/>
  <c r="L22" i="5"/>
  <c r="J22" i="5"/>
  <c r="I22" i="5"/>
  <c r="H22" i="5"/>
  <c r="G22" i="5"/>
  <c r="F22" i="5"/>
  <c r="E22" i="5"/>
  <c r="D22" i="5"/>
  <c r="C22" i="5"/>
  <c r="B22" i="5"/>
  <c r="A22" i="5"/>
  <c r="K22" i="5" s="1" a="1"/>
  <c r="K22" i="5" s="1"/>
  <c r="L21" i="5"/>
  <c r="J21" i="5"/>
  <c r="I21" i="5"/>
  <c r="H21" i="5"/>
  <c r="G21" i="5"/>
  <c r="F21" i="5"/>
  <c r="E21" i="5"/>
  <c r="D21" i="5"/>
  <c r="C21" i="5"/>
  <c r="B21" i="5"/>
  <c r="A21" i="5"/>
  <c r="K21" i="5" s="1" a="1"/>
  <c r="K21" i="5" s="1"/>
  <c r="L20" i="5"/>
  <c r="J20" i="5"/>
  <c r="I20" i="5"/>
  <c r="H20" i="5"/>
  <c r="G20" i="5"/>
  <c r="F20" i="5"/>
  <c r="E20" i="5"/>
  <c r="D20" i="5"/>
  <c r="C20" i="5"/>
  <c r="B20" i="5"/>
  <c r="A20" i="5"/>
  <c r="K20" i="5" s="1" a="1"/>
  <c r="K20" i="5" s="1"/>
  <c r="L19" i="5"/>
  <c r="J19" i="5"/>
  <c r="I19" i="5"/>
  <c r="H19" i="5"/>
  <c r="G19" i="5"/>
  <c r="F19" i="5"/>
  <c r="E19" i="5"/>
  <c r="D19" i="5"/>
  <c r="C19" i="5"/>
  <c r="B19" i="5"/>
  <c r="A19" i="5"/>
  <c r="K19" i="5" s="1" a="1"/>
  <c r="K19" i="5" s="1"/>
  <c r="L18" i="5"/>
  <c r="K18" i="5" a="1"/>
  <c r="K18" i="5" s="1"/>
  <c r="J18" i="5"/>
  <c r="I18" i="5"/>
  <c r="H18" i="5"/>
  <c r="G18" i="5"/>
  <c r="F18" i="5"/>
  <c r="E18" i="5"/>
  <c r="D18" i="5"/>
  <c r="C18" i="5"/>
  <c r="B18" i="5"/>
  <c r="A18" i="5"/>
  <c r="L17" i="5"/>
  <c r="J17" i="5"/>
  <c r="I17" i="5"/>
  <c r="H17" i="5"/>
  <c r="G17" i="5"/>
  <c r="F17" i="5"/>
  <c r="E17" i="5"/>
  <c r="D17" i="5"/>
  <c r="C17" i="5"/>
  <c r="B17" i="5"/>
  <c r="A17" i="5"/>
  <c r="K17" i="5" s="1" a="1"/>
  <c r="K17" i="5" s="1"/>
  <c r="L16" i="5"/>
  <c r="J16" i="5"/>
  <c r="I16" i="5"/>
  <c r="H16" i="5"/>
  <c r="G16" i="5"/>
  <c r="F16" i="5"/>
  <c r="E16" i="5"/>
  <c r="D16" i="5"/>
  <c r="C16" i="5"/>
  <c r="B16" i="5"/>
  <c r="A16" i="5"/>
  <c r="K16" i="5" s="1" a="1"/>
  <c r="K16" i="5" s="1"/>
  <c r="L15" i="5"/>
  <c r="K15" i="5" a="1"/>
  <c r="K15" i="5"/>
  <c r="J15" i="5"/>
  <c r="I15" i="5"/>
  <c r="H15" i="5"/>
  <c r="G15" i="5"/>
  <c r="F15" i="5"/>
  <c r="E15" i="5"/>
  <c r="D15" i="5"/>
  <c r="C15" i="5"/>
  <c r="B15" i="5"/>
  <c r="A15" i="5"/>
  <c r="L14" i="5"/>
  <c r="J14" i="5"/>
  <c r="I14" i="5"/>
  <c r="H14" i="5"/>
  <c r="G14" i="5"/>
  <c r="F14" i="5"/>
  <c r="E14" i="5"/>
  <c r="D14" i="5"/>
  <c r="C14" i="5"/>
  <c r="B14" i="5"/>
  <c r="A14" i="5"/>
  <c r="K14" i="5" s="1" a="1"/>
  <c r="K14" i="5" s="1"/>
  <c r="L13" i="5"/>
  <c r="J13" i="5"/>
  <c r="I13" i="5"/>
  <c r="H13" i="5"/>
  <c r="G13" i="5"/>
  <c r="F13" i="5"/>
  <c r="E13" i="5"/>
  <c r="D13" i="5"/>
  <c r="C13" i="5"/>
  <c r="B13" i="5"/>
  <c r="A13" i="5"/>
  <c r="K13" i="5" s="1" a="1"/>
  <c r="K13" i="5" s="1"/>
  <c r="L12" i="5"/>
  <c r="J12" i="5"/>
  <c r="I12" i="5"/>
  <c r="H12" i="5"/>
  <c r="G12" i="5"/>
  <c r="F12" i="5"/>
  <c r="E12" i="5"/>
  <c r="D12" i="5"/>
  <c r="C12" i="5"/>
  <c r="B12" i="5"/>
  <c r="A12" i="5"/>
  <c r="K12" i="5" s="1" a="1"/>
  <c r="K12" i="5" s="1"/>
  <c r="L11" i="5"/>
  <c r="J11" i="5"/>
  <c r="I11" i="5"/>
  <c r="H11" i="5"/>
  <c r="G11" i="5"/>
  <c r="F11" i="5"/>
  <c r="E11" i="5"/>
  <c r="D11" i="5"/>
  <c r="C11" i="5"/>
  <c r="B11" i="5"/>
  <c r="A11" i="5"/>
  <c r="K11" i="5" s="1" a="1"/>
  <c r="K11" i="5" s="1"/>
  <c r="L10" i="5"/>
  <c r="K10" i="5" a="1"/>
  <c r="K10" i="5" s="1"/>
  <c r="J10" i="5"/>
  <c r="I10" i="5"/>
  <c r="H10" i="5"/>
  <c r="G10" i="5"/>
  <c r="F10" i="5"/>
  <c r="E10" i="5"/>
  <c r="D10" i="5"/>
  <c r="C10" i="5"/>
  <c r="B10" i="5"/>
  <c r="A10" i="5"/>
  <c r="L9" i="5"/>
  <c r="J9" i="5"/>
  <c r="I9" i="5"/>
  <c r="H9" i="5"/>
  <c r="G9" i="5"/>
  <c r="F9" i="5"/>
  <c r="E9" i="5"/>
  <c r="D9" i="5"/>
  <c r="C9" i="5"/>
  <c r="B9" i="5"/>
  <c r="A9" i="5"/>
  <c r="K9" i="5" s="1" a="1"/>
  <c r="K9" i="5" s="1"/>
  <c r="L8" i="5"/>
  <c r="J8" i="5"/>
  <c r="I8" i="5"/>
  <c r="H8" i="5"/>
  <c r="G8" i="5"/>
  <c r="F8" i="5"/>
  <c r="E8" i="5"/>
  <c r="D8" i="5"/>
  <c r="C8" i="5"/>
  <c r="B8" i="5"/>
  <c r="A8" i="5"/>
  <c r="K8" i="5" s="1" a="1"/>
  <c r="K8" i="5" s="1"/>
  <c r="L7" i="5"/>
  <c r="K7" i="5" a="1"/>
  <c r="K7" i="5"/>
  <c r="J7" i="5"/>
  <c r="I7" i="5"/>
  <c r="H7" i="5"/>
  <c r="G7" i="5"/>
  <c r="F7" i="5"/>
  <c r="E7" i="5"/>
  <c r="D7" i="5"/>
  <c r="C7" i="5"/>
  <c r="B7" i="5"/>
  <c r="A7" i="5"/>
  <c r="L6" i="5"/>
  <c r="J6" i="5"/>
  <c r="I6" i="5"/>
  <c r="H6" i="5"/>
  <c r="G6" i="5"/>
  <c r="F6" i="5"/>
  <c r="E6" i="5"/>
  <c r="D6" i="5"/>
  <c r="C6" i="5"/>
  <c r="B6" i="5"/>
  <c r="A6" i="5"/>
  <c r="K6" i="5" s="1" a="1"/>
  <c r="K6" i="5" s="1"/>
  <c r="L5" i="5"/>
  <c r="J5" i="5"/>
  <c r="I5" i="5"/>
  <c r="H5" i="5"/>
  <c r="G5" i="5"/>
  <c r="F5" i="5"/>
  <c r="E5" i="5"/>
  <c r="D5" i="5"/>
  <c r="C5" i="5"/>
  <c r="B5" i="5"/>
  <c r="A5" i="5"/>
  <c r="K5" i="5" s="1" a="1"/>
  <c r="K5" i="5" s="1"/>
  <c r="L4" i="5"/>
  <c r="J4" i="5"/>
  <c r="I4" i="5"/>
  <c r="H4" i="5"/>
  <c r="G4" i="5"/>
  <c r="F4" i="5"/>
  <c r="E4" i="5"/>
  <c r="D4" i="5"/>
  <c r="C4" i="5"/>
  <c r="B4" i="5"/>
  <c r="A4" i="5"/>
  <c r="K4" i="5" s="1" a="1"/>
  <c r="K4" i="5" s="1"/>
  <c r="L3" i="5"/>
  <c r="J3" i="5"/>
  <c r="I3" i="5"/>
  <c r="H3" i="5"/>
  <c r="G3" i="5"/>
  <c r="F3" i="5"/>
  <c r="E3" i="5"/>
  <c r="D3" i="5"/>
  <c r="C3" i="5"/>
  <c r="B3" i="5"/>
  <c r="A3" i="5"/>
  <c r="K3" i="5" s="1" a="1"/>
  <c r="K3" i="5" s="1"/>
  <c r="L2" i="5"/>
  <c r="K2" i="5" a="1"/>
  <c r="K2" i="5" s="1"/>
  <c r="J2" i="5"/>
  <c r="I2" i="5"/>
  <c r="H2" i="5"/>
  <c r="G2" i="5"/>
  <c r="F2" i="5"/>
  <c r="E2" i="5"/>
  <c r="D2" i="5"/>
  <c r="C2" i="5"/>
  <c r="B2" i="5"/>
  <c r="A2" i="5"/>
  <c r="L1" i="5"/>
  <c r="J1" i="5"/>
  <c r="I1" i="5"/>
  <c r="H1" i="5"/>
  <c r="G1" i="5"/>
  <c r="F1" i="5"/>
  <c r="E1" i="5"/>
  <c r="D1" i="5"/>
  <c r="C1" i="5"/>
  <c r="B1" i="5"/>
  <c r="A1" i="5"/>
</calcChain>
</file>

<file path=xl/sharedStrings.xml><?xml version="1.0" encoding="utf-8"?>
<sst xmlns="http://schemas.openxmlformats.org/spreadsheetml/2006/main" count="1796" uniqueCount="99">
  <si>
    <t>Generated: 9/14/2026, 5:22:30 PM</t>
  </si>
  <si>
    <t>THIS WEEK'S PICK (Week 1)</t>
  </si>
  <si>
    <t>Los Angeles Chargers</t>
  </si>
  <si>
    <t>Player</t>
  </si>
  <si>
    <t>Top alternatives this week</t>
  </si>
  <si>
    <t>Team</t>
  </si>
  <si>
    <t>Week 1</t>
  </si>
  <si>
    <t>Win Probability</t>
  </si>
  <si>
    <t>Power Ranking</t>
  </si>
  <si>
    <t>Week 2</t>
  </si>
  <si>
    <t>Week 3</t>
  </si>
  <si>
    <t>Week 4</t>
  </si>
  <si>
    <t>Jacksonville Jaguars</t>
  </si>
  <si>
    <t>Week 5</t>
  </si>
  <si>
    <t>Week 6</t>
  </si>
  <si>
    <t>Baltimore Ravens</t>
  </si>
  <si>
    <t>Week 7</t>
  </si>
  <si>
    <t>Week 8</t>
  </si>
  <si>
    <t>Las Vegas Raiders</t>
  </si>
  <si>
    <t>Week 9</t>
  </si>
  <si>
    <t>Week 10</t>
  </si>
  <si>
    <t>Week 11</t>
  </si>
  <si>
    <t>Detroit Lions</t>
  </si>
  <si>
    <t>Week 12</t>
  </si>
  <si>
    <t>Week 13</t>
  </si>
  <si>
    <t>Full remaining-season plan (recomputed weekly — not locked in)</t>
  </si>
  <si>
    <t>Week 14</t>
  </si>
  <si>
    <t>Week</t>
  </si>
  <si>
    <t>Week 15</t>
  </si>
  <si>
    <t>Planned Team</t>
  </si>
  <si>
    <t>Week 16</t>
  </si>
  <si>
    <t>Week 17</t>
  </si>
  <si>
    <t>Week 18</t>
  </si>
  <si>
    <t>Player 1</t>
  </si>
  <si>
    <t>San Francisco 49ers</t>
  </si>
  <si>
    <t>Player 2</t>
  </si>
  <si>
    <t>Player 3</t>
  </si>
  <si>
    <t>Minnesota Vikings</t>
  </si>
  <si>
    <t>Player n</t>
  </si>
  <si>
    <t>Me</t>
  </si>
  <si>
    <t>New England Patriots</t>
  </si>
  <si>
    <t>Los Angeles Rams</t>
  </si>
  <si>
    <t>Denver Broncos</t>
  </si>
  <si>
    <t>Dallas Cowboys</t>
  </si>
  <si>
    <t>Seattle Seahawks</t>
  </si>
  <si>
    <t>Indianapolis Colts</t>
  </si>
  <si>
    <t>Kansas City Chiefs</t>
  </si>
  <si>
    <t>Cincinnati Bengals</t>
  </si>
  <si>
    <t>Philadelphia Eagles</t>
  </si>
  <si>
    <t>Chicago Bears</t>
  </si>
  <si>
    <t>Green Bay Packers</t>
  </si>
  <si>
    <t>Buffalo Bills</t>
  </si>
  <si>
    <t>Houston Texans</t>
  </si>
  <si>
    <t>Requests Used</t>
  </si>
  <si>
    <t>Requests Remaining</t>
  </si>
  <si>
    <t>Last Updated</t>
  </si>
  <si>
    <t>Super Bowl Odds</t>
  </si>
  <si>
    <t>Week #</t>
  </si>
  <si>
    <t>Line Last Updated</t>
  </si>
  <si>
    <t>Pittsburgh Steelers</t>
  </si>
  <si>
    <t>New York Giants</t>
  </si>
  <si>
    <t>Tampa Bay Buccaneers</t>
  </si>
  <si>
    <t>Washington Commanders</t>
  </si>
  <si>
    <t>New Orleans Saints</t>
  </si>
  <si>
    <t>Carolina Panthers</t>
  </si>
  <si>
    <t>Atlanta Falcons</t>
  </si>
  <si>
    <t>Tennessee Titans</t>
  </si>
  <si>
    <t>New York Jets</t>
  </si>
  <si>
    <t>Cleveland Browns</t>
  </si>
  <si>
    <t>Arizona Cardinals</t>
  </si>
  <si>
    <t>Miami Dolphins</t>
  </si>
  <si>
    <t>Win Total</t>
  </si>
  <si>
    <t>Over (American)</t>
  </si>
  <si>
    <t>Under (American)</t>
  </si>
  <si>
    <t>Over (Decimal)</t>
  </si>
  <si>
    <t>Under (Decimal)</t>
  </si>
  <si>
    <t>Line Last Updated (Manually)</t>
  </si>
  <si>
    <t>+115</t>
  </si>
  <si>
    <t>+110</t>
  </si>
  <si>
    <t>+100</t>
  </si>
  <si>
    <t>+105</t>
  </si>
  <si>
    <t>+124</t>
  </si>
  <si>
    <t>+120</t>
  </si>
  <si>
    <t>+116</t>
  </si>
  <si>
    <t>+125</t>
  </si>
  <si>
    <t>Home Team</t>
  </si>
  <si>
    <t>v</t>
  </si>
  <si>
    <t>Road Team</t>
  </si>
  <si>
    <t>Game Time</t>
  </si>
  <si>
    <t>Away Team</t>
  </si>
  <si>
    <t>Moneyline Away</t>
  </si>
  <si>
    <t>Moneyline Home</t>
  </si>
  <si>
    <t>Spread Away</t>
  </si>
  <si>
    <t>Spread Away Odds</t>
  </si>
  <si>
    <t>Spread Home</t>
  </si>
  <si>
    <t>Spread Home Odds</t>
  </si>
  <si>
    <t>Date</t>
  </si>
  <si>
    <t>This Table should not be used for anything, it should just be here to be preserved for posterity purposes</t>
  </si>
  <si>
    <t>Generated: 9/8/2026, 11:41:23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</si>
</sst>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ddd\,\ mmm\ d\,\ h:mm\ AM/PM"/>
    <numFmt numFmtId="166" formatCode="&quot;Week&quot;\ #"/>
    <numFmt numFmtId="167" formatCode="m/d/yyyy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4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1" fillId="0" borderId="0" xfId="0" applyNumberFormat="1" applyFont="1"/>
    <xf numFmtId="165" fontId="1" fillId="0" borderId="0" xfId="0" applyNumberFormat="1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/>
    </xf>
    <xf numFmtId="166" fontId="1" fillId="0" borderId="0" xfId="0" applyNumberFormat="1" applyFont="1"/>
    <xf numFmtId="16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3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2.6640625" defaultRowHeight="15.75" customHeight="1" x14ac:dyDescent="0.15"/>
  <cols>
    <col min="1" max="1" width="48" customWidth="1"/>
    <col min="2" max="2" width="16.6640625" customWidth="1"/>
    <col min="3" max="3" width="12" customWidth="1"/>
    <col min="4" max="4" width="11.83203125" customWidth="1"/>
  </cols>
  <sheetData>
    <row r="1" spans="1:4" ht="15.75" customHeight="1" x14ac:dyDescent="0.15">
      <c r="A1" s="1" t="s">
        <v>0</v>
      </c>
    </row>
    <row r="2" spans="1:4" ht="15.75" customHeight="1" x14ac:dyDescent="0.15">
      <c r="A2" s="2" t="s">
        <v>1</v>
      </c>
    </row>
    <row r="3" spans="1:4" x14ac:dyDescent="0.2">
      <c r="A3" s="3" t="s">
        <v>2</v>
      </c>
      <c r="B3" s="4">
        <v>0.72595553334998753</v>
      </c>
    </row>
    <row r="5" spans="1:4" ht="15.75" customHeight="1" x14ac:dyDescent="0.15">
      <c r="A5" s="2" t="s">
        <v>4</v>
      </c>
    </row>
    <row r="6" spans="1:4" ht="15.75" customHeight="1" x14ac:dyDescent="0.15">
      <c r="A6" s="2" t="s">
        <v>5</v>
      </c>
      <c r="B6" s="2" t="s">
        <v>7</v>
      </c>
      <c r="C6" s="2" t="s">
        <v>8</v>
      </c>
    </row>
    <row r="7" spans="1:4" ht="15.75" customHeight="1" x14ac:dyDescent="0.15">
      <c r="A7" s="1" t="s">
        <v>2</v>
      </c>
      <c r="B7" s="4">
        <v>0.72595553334998753</v>
      </c>
      <c r="C7" s="4">
        <v>0.55142314990512331</v>
      </c>
    </row>
    <row r="8" spans="1:4" ht="15.75" customHeight="1" x14ac:dyDescent="0.15">
      <c r="A8" s="1" t="s">
        <v>12</v>
      </c>
      <c r="B8" s="4">
        <v>0.61328448173974703</v>
      </c>
      <c r="C8" s="4">
        <v>0.49231499051233396</v>
      </c>
    </row>
    <row r="9" spans="1:4" ht="15.75" customHeight="1" x14ac:dyDescent="0.15">
      <c r="A9" s="1" t="s">
        <v>15</v>
      </c>
      <c r="B9" s="4">
        <v>0.61258620689655174</v>
      </c>
      <c r="C9" s="4">
        <v>0.67419354838709689</v>
      </c>
    </row>
    <row r="10" spans="1:4" ht="15.75" customHeight="1" x14ac:dyDescent="0.15">
      <c r="A10" s="1" t="s">
        <v>18</v>
      </c>
      <c r="B10" s="4">
        <v>0.60645629307217985</v>
      </c>
      <c r="C10" s="4">
        <v>0.31726755218216318</v>
      </c>
    </row>
    <row r="11" spans="1:4" ht="15.75" customHeight="1" x14ac:dyDescent="0.15">
      <c r="A11" s="1" t="s">
        <v>22</v>
      </c>
      <c r="B11" s="4">
        <v>0.59009628610729026</v>
      </c>
      <c r="C11" s="4">
        <v>0.61053130929791277</v>
      </c>
    </row>
    <row r="14" spans="1:4" ht="15.75" customHeight="1" x14ac:dyDescent="0.15">
      <c r="A14" s="2" t="s">
        <v>25</v>
      </c>
    </row>
    <row r="15" spans="1:4" ht="15.75" customHeight="1" x14ac:dyDescent="0.15">
      <c r="A15" s="2" t="s">
        <v>27</v>
      </c>
      <c r="B15" s="2" t="s">
        <v>29</v>
      </c>
      <c r="C15" s="2" t="s">
        <v>7</v>
      </c>
      <c r="D15" s="2" t="s">
        <v>8</v>
      </c>
    </row>
    <row r="16" spans="1:4" ht="15.75" customHeight="1" x14ac:dyDescent="0.15">
      <c r="A16" s="1">
        <v>1</v>
      </c>
      <c r="B16" s="1" t="s">
        <v>2</v>
      </c>
      <c r="C16" s="4">
        <v>0.72595553334998753</v>
      </c>
      <c r="D16" s="4">
        <v>0.55142314990512331</v>
      </c>
    </row>
    <row r="17" spans="1:4" ht="15.75" customHeight="1" x14ac:dyDescent="0.15">
      <c r="A17" s="1">
        <v>2</v>
      </c>
      <c r="B17" s="1" t="s">
        <v>34</v>
      </c>
      <c r="C17" s="4">
        <v>0.87209302325581384</v>
      </c>
      <c r="D17" s="4">
        <v>0.56736242884250476</v>
      </c>
    </row>
    <row r="18" spans="1:4" ht="15.75" customHeight="1" x14ac:dyDescent="0.15">
      <c r="A18" s="1">
        <v>3</v>
      </c>
      <c r="B18" s="1" t="s">
        <v>22</v>
      </c>
      <c r="C18" s="4">
        <v>0.7720588235294118</v>
      </c>
      <c r="D18" s="4">
        <v>0.61053130929791277</v>
      </c>
    </row>
    <row r="19" spans="1:4" ht="15.75" customHeight="1" x14ac:dyDescent="0.15">
      <c r="A19" s="1">
        <v>4</v>
      </c>
      <c r="B19" s="1" t="s">
        <v>37</v>
      </c>
      <c r="C19" s="4">
        <v>0.7720588235294118</v>
      </c>
      <c r="D19" s="4">
        <v>0.48776091081593931</v>
      </c>
    </row>
    <row r="20" spans="1:4" ht="15.75" customHeight="1" x14ac:dyDescent="0.15">
      <c r="A20" s="1">
        <v>5</v>
      </c>
      <c r="B20" s="1" t="s">
        <v>40</v>
      </c>
      <c r="C20" s="4">
        <v>0.76635514018691586</v>
      </c>
      <c r="D20" s="4">
        <v>0.5968690702087287</v>
      </c>
    </row>
    <row r="21" spans="1:4" ht="15.75" customHeight="1" x14ac:dyDescent="0.15">
      <c r="A21" s="1">
        <v>6</v>
      </c>
      <c r="B21" s="1" t="s">
        <v>41</v>
      </c>
      <c r="C21" s="4">
        <v>0.76469326469326471</v>
      </c>
      <c r="D21" s="4">
        <v>0.67647058823529416</v>
      </c>
    </row>
    <row r="22" spans="1:4" ht="15.75" customHeight="1" x14ac:dyDescent="0.15">
      <c r="A22" s="1">
        <v>7</v>
      </c>
      <c r="B22" s="1" t="s">
        <v>42</v>
      </c>
      <c r="C22" s="4">
        <v>0.75048732943469787</v>
      </c>
      <c r="D22" s="4">
        <v>0.55597722960151796</v>
      </c>
    </row>
    <row r="23" spans="1:4" ht="15.75" customHeight="1" x14ac:dyDescent="0.15">
      <c r="A23" s="1">
        <v>8</v>
      </c>
      <c r="B23" s="1" t="s">
        <v>43</v>
      </c>
      <c r="C23" s="4">
        <v>0.81210191082802541</v>
      </c>
      <c r="D23" s="4">
        <v>0.54003795066413662</v>
      </c>
    </row>
    <row r="24" spans="1:4" ht="15.75" customHeight="1" x14ac:dyDescent="0.15">
      <c r="A24" s="1">
        <v>9</v>
      </c>
      <c r="B24" s="1" t="s">
        <v>44</v>
      </c>
      <c r="C24" s="4">
        <v>0.85768742058449809</v>
      </c>
      <c r="D24" s="4">
        <v>0.61963946869070208</v>
      </c>
    </row>
    <row r="25" spans="1:4" ht="15.75" customHeight="1" x14ac:dyDescent="0.15">
      <c r="A25" s="1">
        <v>10</v>
      </c>
      <c r="B25" s="1" t="s">
        <v>45</v>
      </c>
      <c r="C25" s="4">
        <v>0.72614107883817425</v>
      </c>
      <c r="D25" s="4">
        <v>0.42637571157495258</v>
      </c>
    </row>
    <row r="26" spans="1:4" ht="15.75" customHeight="1" x14ac:dyDescent="0.15">
      <c r="A26" s="1">
        <v>11</v>
      </c>
      <c r="B26" s="1" t="s">
        <v>46</v>
      </c>
      <c r="C26" s="4">
        <v>0.82191780821917815</v>
      </c>
      <c r="D26" s="4">
        <v>0.61508538899430742</v>
      </c>
    </row>
    <row r="27" spans="1:4" ht="15.75" customHeight="1" x14ac:dyDescent="0.15">
      <c r="A27" s="1">
        <v>12</v>
      </c>
      <c r="B27" s="1" t="s">
        <v>47</v>
      </c>
      <c r="C27" s="4">
        <v>0.7142857142857143</v>
      </c>
      <c r="D27" s="4">
        <v>0.60370018975332074</v>
      </c>
    </row>
    <row r="28" spans="1:4" ht="15.75" customHeight="1" x14ac:dyDescent="0.15">
      <c r="A28" s="1">
        <v>13</v>
      </c>
      <c r="B28" s="1" t="s">
        <v>48</v>
      </c>
      <c r="C28" s="4">
        <v>0.76635514018691586</v>
      </c>
      <c r="D28" s="4">
        <v>0.61280834914611004</v>
      </c>
    </row>
    <row r="29" spans="1:4" ht="15.75" customHeight="1" x14ac:dyDescent="0.15">
      <c r="A29" s="1">
        <v>14</v>
      </c>
      <c r="B29" s="1" t="s">
        <v>49</v>
      </c>
      <c r="C29" s="4">
        <v>0.6802721088435375</v>
      </c>
      <c r="D29" s="4">
        <v>0.54459203036053128</v>
      </c>
    </row>
    <row r="30" spans="1:4" ht="15.75" customHeight="1" x14ac:dyDescent="0.15">
      <c r="A30" s="1">
        <v>15</v>
      </c>
      <c r="B30" s="1" t="s">
        <v>50</v>
      </c>
      <c r="C30" s="4">
        <v>0.83211678832116798</v>
      </c>
      <c r="D30" s="4">
        <v>0.54914611005692593</v>
      </c>
    </row>
    <row r="31" spans="1:4" ht="15.75" customHeight="1" x14ac:dyDescent="0.15">
      <c r="A31" s="1">
        <v>16</v>
      </c>
      <c r="B31" s="1" t="s">
        <v>15</v>
      </c>
      <c r="C31" s="4">
        <v>0.77617328519855588</v>
      </c>
      <c r="D31" s="4">
        <v>0.67419354838709689</v>
      </c>
    </row>
    <row r="32" spans="1:4" ht="15.75" customHeight="1" x14ac:dyDescent="0.15">
      <c r="A32" s="1">
        <v>17</v>
      </c>
      <c r="B32" s="1" t="s">
        <v>51</v>
      </c>
      <c r="C32" s="4">
        <v>0.76045627376425851</v>
      </c>
      <c r="D32" s="4">
        <v>0.62191650853889946</v>
      </c>
    </row>
    <row r="33" spans="1:4" ht="15.75" customHeight="1" x14ac:dyDescent="0.15">
      <c r="A33" s="1">
        <v>18</v>
      </c>
      <c r="B33" s="1" t="s">
        <v>52</v>
      </c>
      <c r="C33" s="4">
        <v>0.71729957805907163</v>
      </c>
      <c r="D33" s="4">
        <v>0.55825426944971535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showGridLines="0" workbookViewId="0"/>
  </sheetViews>
  <sheetFormatPr baseColWidth="10" defaultColWidth="12.6640625" defaultRowHeight="15.75" customHeight="1" x14ac:dyDescent="0.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S6"/>
  <sheetViews>
    <sheetView tabSelected="1" workbookViewId="0"/>
  </sheetViews>
  <sheetFormatPr baseColWidth="10" defaultColWidth="12.6640625" defaultRowHeight="15.75" customHeight="1" x14ac:dyDescent="0.15"/>
  <sheetData>
    <row r="1" spans="1:19" ht="15.75" customHeight="1" x14ac:dyDescent="0.15">
      <c r="A1" s="1" t="s">
        <v>3</v>
      </c>
      <c r="B1" s="1" t="s">
        <v>6</v>
      </c>
      <c r="C1" s="1" t="s">
        <v>9</v>
      </c>
      <c r="D1" s="1" t="s">
        <v>10</v>
      </c>
      <c r="E1" s="1" t="s">
        <v>11</v>
      </c>
      <c r="F1" s="1" t="s">
        <v>13</v>
      </c>
      <c r="G1" s="1" t="s">
        <v>14</v>
      </c>
      <c r="H1" s="1" t="s">
        <v>16</v>
      </c>
      <c r="I1" s="1" t="s">
        <v>17</v>
      </c>
      <c r="J1" s="1" t="s">
        <v>19</v>
      </c>
      <c r="K1" s="1" t="s">
        <v>20</v>
      </c>
      <c r="L1" s="1" t="s">
        <v>21</v>
      </c>
      <c r="M1" s="1" t="s">
        <v>23</v>
      </c>
      <c r="N1" s="1" t="s">
        <v>24</v>
      </c>
      <c r="O1" s="1" t="s">
        <v>26</v>
      </c>
      <c r="P1" s="1" t="s">
        <v>28</v>
      </c>
      <c r="Q1" s="1" t="s">
        <v>30</v>
      </c>
      <c r="R1" s="1" t="s">
        <v>31</v>
      </c>
      <c r="S1" s="1" t="s">
        <v>32</v>
      </c>
    </row>
    <row r="2" spans="1:19" ht="15.75" customHeight="1" x14ac:dyDescent="0.15">
      <c r="A2" s="1" t="s">
        <v>33</v>
      </c>
    </row>
    <row r="3" spans="1:19" ht="15.75" customHeight="1" x14ac:dyDescent="0.15">
      <c r="A3" s="1" t="s">
        <v>35</v>
      </c>
    </row>
    <row r="4" spans="1:19" ht="15.75" customHeight="1" x14ac:dyDescent="0.15">
      <c r="A4" s="1" t="s">
        <v>36</v>
      </c>
    </row>
    <row r="5" spans="1:19" ht="15.75" customHeight="1" x14ac:dyDescent="0.15">
      <c r="A5" s="1" t="s">
        <v>38</v>
      </c>
    </row>
    <row r="6" spans="1:19" ht="15.75" customHeight="1" x14ac:dyDescent="0.15">
      <c r="A6" s="1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"/>
  <sheetViews>
    <sheetView showGridLines="0" workbookViewId="0"/>
  </sheetViews>
  <sheetFormatPr baseColWidth="10" defaultColWidth="12.6640625" defaultRowHeight="15.75" customHeight="1" x14ac:dyDescent="0.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274"/>
  <sheetViews>
    <sheetView workbookViewId="0">
      <selection activeCell="K2" sqref="K2"/>
    </sheetView>
  </sheetViews>
  <sheetFormatPr baseColWidth="10" defaultColWidth="12.6640625" defaultRowHeight="15.75" customHeight="1" x14ac:dyDescent="0.15"/>
  <cols>
    <col min="1" max="1" width="17.6640625" customWidth="1"/>
    <col min="2" max="3" width="20.1640625" customWidth="1"/>
    <col min="4" max="4" width="13.1640625" customWidth="1"/>
    <col min="5" max="5" width="13.5" customWidth="1"/>
    <col min="6" max="6" width="10.83203125" customWidth="1"/>
    <col min="7" max="7" width="15.33203125" customWidth="1"/>
    <col min="8" max="8" width="11.1640625" customWidth="1"/>
    <col min="9" max="9" width="15.6640625" customWidth="1"/>
    <col min="10" max="10" width="18.5" bestFit="1" customWidth="1"/>
  </cols>
  <sheetData>
    <row r="1" spans="1:12" ht="15.75" customHeight="1" x14ac:dyDescent="0.15">
      <c r="A1" s="1" t="str">
        <f>'Game Lines'!A5</f>
        <v>Game Time</v>
      </c>
      <c r="B1" s="1" t="str">
        <f>'Game Lines'!B5</f>
        <v>Away Team</v>
      </c>
      <c r="C1" s="1" t="str">
        <f>'Game Lines'!C5</f>
        <v>Home Team</v>
      </c>
      <c r="D1" s="1" t="str">
        <f>'Game Lines'!D5</f>
        <v>Moneyline Away</v>
      </c>
      <c r="E1" s="1" t="str">
        <f>'Game Lines'!E5</f>
        <v>Moneyline Home</v>
      </c>
      <c r="F1" s="1" t="str">
        <f>'Game Lines'!F5</f>
        <v>Spread Away</v>
      </c>
      <c r="G1" s="1" t="str">
        <f>'Game Lines'!G5</f>
        <v>Spread Away Odds</v>
      </c>
      <c r="H1" s="1" t="str">
        <f>'Game Lines'!H5</f>
        <v>Spread Home</v>
      </c>
      <c r="I1" s="1" t="str">
        <f>'Game Lines'!I5</f>
        <v>Spread Home Odds</v>
      </c>
      <c r="J1" s="1" t="str">
        <f>'Game Lines'!J5</f>
        <v>Line Last Updated</v>
      </c>
      <c r="K1" s="1" t="s">
        <v>57</v>
      </c>
      <c r="L1" s="1">
        <f>'Game Lines'!L5</f>
        <v>0</v>
      </c>
    </row>
    <row r="2" spans="1:12" ht="15.75" customHeight="1" x14ac:dyDescent="0.15">
      <c r="A2" s="5">
        <f>'Game Lines'!A7</f>
        <v>46285.541666666664</v>
      </c>
      <c r="B2" s="1" t="str">
        <f>'Game Lines'!B7</f>
        <v>Carolina Panthers</v>
      </c>
      <c r="C2" s="1" t="str">
        <f>'Game Lines'!C7</f>
        <v>Atlanta Falcons</v>
      </c>
      <c r="D2" s="1">
        <f>'Game Lines'!D7</f>
        <v>1.65</v>
      </c>
      <c r="E2" s="1">
        <f>'Game Lines'!E7</f>
        <v>2.2999999999999998</v>
      </c>
      <c r="F2" s="1">
        <f>'Game Lines'!F7</f>
        <v>-2.5</v>
      </c>
      <c r="G2" s="1">
        <f>'Game Lines'!G7</f>
        <v>1.85</v>
      </c>
      <c r="H2" s="1">
        <f>'Game Lines'!H7</f>
        <v>2.5</v>
      </c>
      <c r="I2" s="1">
        <f>'Game Lines'!I7</f>
        <v>1.98</v>
      </c>
      <c r="J2" s="5">
        <f>'Game Lines'!J7</f>
        <v>46282.683333333334</v>
      </c>
      <c r="K2" s="6" t="e">
        <f t="array" ref="K2">_xlfn.XLOOKUP(DATEVALUE(A2),'Week Lookup Table'!A:A,'Week Lookup Table'!B:B)</f>
        <v>#VALUE!</v>
      </c>
      <c r="L2" s="1">
        <f>'Game Lines'!L7</f>
        <v>0</v>
      </c>
    </row>
    <row r="3" spans="1:12" ht="15.75" customHeight="1" x14ac:dyDescent="0.15">
      <c r="A3" s="5">
        <f>'Game Lines'!A8</f>
        <v>46285.541666666664</v>
      </c>
      <c r="B3" s="1" t="str">
        <f>'Game Lines'!B8</f>
        <v>New Orleans Saints</v>
      </c>
      <c r="C3" s="1" t="str">
        <f>'Game Lines'!C8</f>
        <v>Baltimore Ravens</v>
      </c>
      <c r="D3" s="1">
        <f>'Game Lines'!D8</f>
        <v>4</v>
      </c>
      <c r="E3" s="1">
        <f>'Game Lines'!E8</f>
        <v>1.26</v>
      </c>
      <c r="F3" s="1">
        <f>'Game Lines'!F8</f>
        <v>8.5</v>
      </c>
      <c r="G3" s="1">
        <f>'Game Lines'!G8</f>
        <v>1.87</v>
      </c>
      <c r="H3" s="1">
        <f>'Game Lines'!H8</f>
        <v>-8.5</v>
      </c>
      <c r="I3" s="1">
        <f>'Game Lines'!I8</f>
        <v>1.95</v>
      </c>
      <c r="J3" s="5">
        <f>'Game Lines'!J8</f>
        <v>46282.683333333334</v>
      </c>
      <c r="K3" s="6" t="e">
        <f t="array" ref="K3">_xlfn.XLOOKUP(DATEVALUE(A3),'Week Lookup Table'!A:A,'Week Lookup Table'!B:B)</f>
        <v>#VALUE!</v>
      </c>
      <c r="L3" s="1">
        <f>'Game Lines'!L8</f>
        <v>0</v>
      </c>
    </row>
    <row r="4" spans="1:12" ht="15.75" customHeight="1" x14ac:dyDescent="0.15">
      <c r="A4" s="5">
        <f>'Game Lines'!A9</f>
        <v>46285.541666666664</v>
      </c>
      <c r="B4" s="1" t="str">
        <f>'Game Lines'!B9</f>
        <v>Minnesota Vikings</v>
      </c>
      <c r="C4" s="1" t="str">
        <f>'Game Lines'!C9</f>
        <v>Chicago Bears</v>
      </c>
      <c r="D4" s="1">
        <f>'Game Lines'!D9</f>
        <v>2.64</v>
      </c>
      <c r="E4" s="1">
        <f>'Game Lines'!E9</f>
        <v>1.51</v>
      </c>
      <c r="F4" s="1">
        <f>'Game Lines'!F9</f>
        <v>4.5</v>
      </c>
      <c r="G4" s="1">
        <f>'Game Lines'!G9</f>
        <v>1.89</v>
      </c>
      <c r="H4" s="1">
        <f>'Game Lines'!H9</f>
        <v>-4.5</v>
      </c>
      <c r="I4" s="1">
        <f>'Game Lines'!I9</f>
        <v>1.93</v>
      </c>
      <c r="J4" s="5">
        <f>'Game Lines'!J9</f>
        <v>46282.683333333334</v>
      </c>
      <c r="K4" s="6" t="e">
        <f t="array" ref="K4">_xlfn.XLOOKUP(DATEVALUE(A4),'Week Lookup Table'!A:A,'Week Lookup Table'!B:B)</f>
        <v>#VALUE!</v>
      </c>
      <c r="L4" s="1">
        <f>'Game Lines'!L9</f>
        <v>0</v>
      </c>
    </row>
    <row r="5" spans="1:12" ht="15.75" customHeight="1" x14ac:dyDescent="0.15">
      <c r="A5" s="5">
        <f>'Game Lines'!A10</f>
        <v>46285.541666666664</v>
      </c>
      <c r="B5" s="1" t="str">
        <f>'Game Lines'!B10</f>
        <v>Cincinnati Bengals</v>
      </c>
      <c r="C5" s="1" t="str">
        <f>'Game Lines'!C10</f>
        <v>Houston Texans</v>
      </c>
      <c r="D5" s="1">
        <f>'Game Lines'!D10</f>
        <v>2.2000000000000002</v>
      </c>
      <c r="E5" s="1">
        <f>'Game Lines'!E10</f>
        <v>1.7</v>
      </c>
      <c r="F5" s="1">
        <f>'Game Lines'!F10</f>
        <v>2.5</v>
      </c>
      <c r="G5" s="1">
        <f>'Game Lines'!G10</f>
        <v>1.98</v>
      </c>
      <c r="H5" s="1">
        <f>'Game Lines'!H10</f>
        <v>-2.5</v>
      </c>
      <c r="I5" s="1">
        <f>'Game Lines'!I10</f>
        <v>1.85</v>
      </c>
      <c r="J5" s="5">
        <f>'Game Lines'!J10</f>
        <v>46282.683333333334</v>
      </c>
      <c r="K5" s="6" t="e">
        <f t="array" ref="K5">_xlfn.XLOOKUP(DATEVALUE(A5),'Week Lookup Table'!A:A,'Week Lookup Table'!B:B)</f>
        <v>#VALUE!</v>
      </c>
      <c r="L5" s="1">
        <f>'Game Lines'!L10</f>
        <v>0</v>
      </c>
    </row>
    <row r="6" spans="1:12" ht="15.75" customHeight="1" x14ac:dyDescent="0.15">
      <c r="A6" s="5">
        <f>'Game Lines'!A11</f>
        <v>46285.541666666664</v>
      </c>
      <c r="B6" s="1" t="str">
        <f>'Game Lines'!B11</f>
        <v>Cleveland Browns</v>
      </c>
      <c r="C6" s="1" t="str">
        <f>'Game Lines'!C11</f>
        <v>Tampa Bay Buccaneers</v>
      </c>
      <c r="D6" s="1">
        <f>'Game Lines'!D11</f>
        <v>4.5</v>
      </c>
      <c r="E6" s="1">
        <f>'Game Lines'!E11</f>
        <v>1.22</v>
      </c>
      <c r="F6" s="1">
        <f>'Game Lines'!F11</f>
        <v>8.5</v>
      </c>
      <c r="G6" s="1">
        <f>'Game Lines'!G11</f>
        <v>1.89</v>
      </c>
      <c r="H6" s="1">
        <f>'Game Lines'!H11</f>
        <v>-8.5</v>
      </c>
      <c r="I6" s="1">
        <f>'Game Lines'!I11</f>
        <v>1.93</v>
      </c>
      <c r="J6" s="5">
        <f>'Game Lines'!J11</f>
        <v>46282.683333333334</v>
      </c>
      <c r="K6" s="6" t="e">
        <f t="array" ref="K6">_xlfn.XLOOKUP(DATEVALUE(A6),'Week Lookup Table'!A:A,'Week Lookup Table'!B:B)</f>
        <v>#VALUE!</v>
      </c>
      <c r="L6" s="1">
        <f>'Game Lines'!L11</f>
        <v>0</v>
      </c>
    </row>
    <row r="7" spans="1:12" ht="15.75" customHeight="1" x14ac:dyDescent="0.15">
      <c r="A7" s="5">
        <f>'Game Lines'!A12</f>
        <v>46285.541666666664</v>
      </c>
      <c r="B7" s="1" t="str">
        <f>'Game Lines'!B12</f>
        <v>Green Bay Packers</v>
      </c>
      <c r="C7" s="1" t="str">
        <f>'Game Lines'!C12</f>
        <v>New York Jets</v>
      </c>
      <c r="D7" s="1">
        <f>'Game Lines'!D12</f>
        <v>1.52</v>
      </c>
      <c r="E7" s="1">
        <f>'Game Lines'!E12</f>
        <v>2.6</v>
      </c>
      <c r="F7" s="1">
        <f>'Game Lines'!F12</f>
        <v>-3.5</v>
      </c>
      <c r="G7" s="1">
        <f>'Game Lines'!G12</f>
        <v>1.89</v>
      </c>
      <c r="H7" s="1">
        <f>'Game Lines'!H12</f>
        <v>3.5</v>
      </c>
      <c r="I7" s="1">
        <f>'Game Lines'!I12</f>
        <v>1.93</v>
      </c>
      <c r="J7" s="5">
        <f>'Game Lines'!J12</f>
        <v>46282.683333333334</v>
      </c>
      <c r="K7" s="6" t="e">
        <f t="array" ref="K7">_xlfn.XLOOKUP(DATEVALUE(A7),'Week Lookup Table'!A:A,'Week Lookup Table'!B:B)</f>
        <v>#VALUE!</v>
      </c>
      <c r="L7" s="1">
        <f>'Game Lines'!L12</f>
        <v>0</v>
      </c>
    </row>
    <row r="8" spans="1:12" ht="15.75" customHeight="1" x14ac:dyDescent="0.15">
      <c r="A8" s="5">
        <f>'Game Lines'!A13</f>
        <v>46285.541666666664</v>
      </c>
      <c r="B8" s="1" t="str">
        <f>'Game Lines'!B13</f>
        <v>Pittsburgh Steelers</v>
      </c>
      <c r="C8" s="1" t="str">
        <f>'Game Lines'!C13</f>
        <v>New England Patriots</v>
      </c>
      <c r="D8" s="1">
        <f>'Game Lines'!D13</f>
        <v>2.8</v>
      </c>
      <c r="E8" s="1">
        <f>'Game Lines'!E13</f>
        <v>1.46</v>
      </c>
      <c r="F8" s="1">
        <f>'Game Lines'!F13</f>
        <v>5.5</v>
      </c>
      <c r="G8" s="1">
        <f>'Game Lines'!G13</f>
        <v>1.87</v>
      </c>
      <c r="H8" s="1">
        <f>'Game Lines'!H13</f>
        <v>-5.5</v>
      </c>
      <c r="I8" s="1">
        <f>'Game Lines'!I13</f>
        <v>1.95</v>
      </c>
      <c r="J8" s="5">
        <f>'Game Lines'!J13</f>
        <v>46282.683333333334</v>
      </c>
      <c r="K8" s="6" t="e">
        <f t="array" ref="K8">_xlfn.XLOOKUP(DATEVALUE(A8),'Week Lookup Table'!A:A,'Week Lookup Table'!B:B)</f>
        <v>#VALUE!</v>
      </c>
      <c r="L8" s="1">
        <f>'Game Lines'!L13</f>
        <v>0</v>
      </c>
    </row>
    <row r="9" spans="1:12" ht="15.75" customHeight="1" x14ac:dyDescent="0.15">
      <c r="A9" s="5">
        <f>'Game Lines'!A14</f>
        <v>46285.541666666664</v>
      </c>
      <c r="B9" s="1" t="str">
        <f>'Game Lines'!B14</f>
        <v>Philadelphia Eagles</v>
      </c>
      <c r="C9" s="1" t="str">
        <f>'Game Lines'!C14</f>
        <v>Tennessee Titans</v>
      </c>
      <c r="D9" s="1">
        <f>'Game Lines'!D14</f>
        <v>1.32</v>
      </c>
      <c r="E9" s="1">
        <f>'Game Lines'!E14</f>
        <v>3.5</v>
      </c>
      <c r="F9" s="1">
        <f>'Game Lines'!F14</f>
        <v>-7</v>
      </c>
      <c r="G9" s="1">
        <f>'Game Lines'!G14</f>
        <v>1.91</v>
      </c>
      <c r="H9" s="1">
        <f>'Game Lines'!H14</f>
        <v>7</v>
      </c>
      <c r="I9" s="1">
        <f>'Game Lines'!I14</f>
        <v>1.91</v>
      </c>
      <c r="J9" s="5">
        <f>'Game Lines'!J14</f>
        <v>46282.683333333334</v>
      </c>
      <c r="K9" s="6" t="e">
        <f t="array" ref="K9">_xlfn.XLOOKUP(DATEVALUE(A9),'Week Lookup Table'!A:A,'Week Lookup Table'!B:B)</f>
        <v>#VALUE!</v>
      </c>
      <c r="L9" s="1">
        <f>'Game Lines'!L14</f>
        <v>0</v>
      </c>
    </row>
    <row r="10" spans="1:12" ht="15.75" customHeight="1" x14ac:dyDescent="0.15">
      <c r="A10" s="5">
        <f>'Game Lines'!A15</f>
        <v>46285.670138888891</v>
      </c>
      <c r="B10" s="1" t="str">
        <f>'Game Lines'!B15</f>
        <v>Jacksonville Jaguars</v>
      </c>
      <c r="C10" s="1" t="str">
        <f>'Game Lines'!C15</f>
        <v>Denver Broncos</v>
      </c>
      <c r="D10" s="1">
        <f>'Game Lines'!D15</f>
        <v>2.2400000000000002</v>
      </c>
      <c r="E10" s="1">
        <f>'Game Lines'!E15</f>
        <v>1.68</v>
      </c>
      <c r="F10" s="1">
        <f>'Game Lines'!F15</f>
        <v>2.5</v>
      </c>
      <c r="G10" s="1">
        <f>'Game Lines'!G15</f>
        <v>1.98</v>
      </c>
      <c r="H10" s="1">
        <f>'Game Lines'!H15</f>
        <v>-2.5</v>
      </c>
      <c r="I10" s="1">
        <f>'Game Lines'!I15</f>
        <v>1.85</v>
      </c>
      <c r="J10" s="5">
        <f>'Game Lines'!J15</f>
        <v>46282.683333333334</v>
      </c>
      <c r="K10" s="6" t="e">
        <f t="array" ref="K10">_xlfn.XLOOKUP(DATEVALUE(A10),'Week Lookup Table'!A:A,'Week Lookup Table'!B:B)</f>
        <v>#VALUE!</v>
      </c>
      <c r="L10" s="1">
        <f>'Game Lines'!L15</f>
        <v>0</v>
      </c>
    </row>
    <row r="11" spans="1:12" ht="15.75" customHeight="1" x14ac:dyDescent="0.15">
      <c r="A11" s="5">
        <f>'Game Lines'!A16</f>
        <v>46285.670138888891</v>
      </c>
      <c r="B11" s="1" t="str">
        <f>'Game Lines'!B16</f>
        <v>Las Vegas Raiders</v>
      </c>
      <c r="C11" s="1" t="str">
        <f>'Game Lines'!C16</f>
        <v>Los Angeles Chargers</v>
      </c>
      <c r="D11" s="1">
        <f>'Game Lines'!D16</f>
        <v>3.45</v>
      </c>
      <c r="E11" s="1">
        <f>'Game Lines'!E16</f>
        <v>1.33</v>
      </c>
      <c r="F11" s="1">
        <f>'Game Lines'!F16</f>
        <v>6.5</v>
      </c>
      <c r="G11" s="1">
        <f>'Game Lines'!G16</f>
        <v>1.98</v>
      </c>
      <c r="H11" s="1">
        <f>'Game Lines'!H16</f>
        <v>-6.5</v>
      </c>
      <c r="I11" s="1">
        <f>'Game Lines'!I16</f>
        <v>1.85</v>
      </c>
      <c r="J11" s="5">
        <f>'Game Lines'!J16</f>
        <v>46282.683333333334</v>
      </c>
      <c r="K11" s="6" t="e">
        <f t="array" ref="K11">_xlfn.XLOOKUP(DATEVALUE(A11),'Week Lookup Table'!A:A,'Week Lookup Table'!B:B)</f>
        <v>#VALUE!</v>
      </c>
      <c r="L11" s="1">
        <f>'Game Lines'!L16</f>
        <v>0</v>
      </c>
    </row>
    <row r="12" spans="1:12" ht="15.75" customHeight="1" x14ac:dyDescent="0.15">
      <c r="A12" s="5">
        <f>'Game Lines'!A17</f>
        <v>46285.684027777781</v>
      </c>
      <c r="B12" s="1" t="str">
        <f>'Game Lines'!B17</f>
        <v>Seattle Seahawks</v>
      </c>
      <c r="C12" s="1" t="str">
        <f>'Game Lines'!C17</f>
        <v>Arizona Cardinals</v>
      </c>
      <c r="D12" s="1">
        <f>'Game Lines'!D17</f>
        <v>1.44</v>
      </c>
      <c r="E12" s="1">
        <f>'Game Lines'!E17</f>
        <v>2.85</v>
      </c>
      <c r="F12" s="1">
        <f>'Game Lines'!F17</f>
        <v>-3.5</v>
      </c>
      <c r="G12" s="1">
        <f>'Game Lines'!G17</f>
        <v>1.83</v>
      </c>
      <c r="H12" s="1">
        <f>'Game Lines'!H17</f>
        <v>3.5</v>
      </c>
      <c r="I12" s="1">
        <f>'Game Lines'!I17</f>
        <v>2</v>
      </c>
      <c r="J12" s="5">
        <f>'Game Lines'!J17</f>
        <v>46282.683333333334</v>
      </c>
      <c r="K12" s="6" t="e">
        <f t="array" ref="K12">_xlfn.XLOOKUP(DATEVALUE(A12),'Week Lookup Table'!A:A,'Week Lookup Table'!B:B)</f>
        <v>#VALUE!</v>
      </c>
      <c r="L12" s="1">
        <f>'Game Lines'!L17</f>
        <v>0</v>
      </c>
    </row>
    <row r="13" spans="1:12" ht="15.75" customHeight="1" x14ac:dyDescent="0.15">
      <c r="A13" s="5">
        <f>'Game Lines'!A18</f>
        <v>46285.684027777781</v>
      </c>
      <c r="B13" s="1" t="str">
        <f>'Game Lines'!B18</f>
        <v>Washington Commanders</v>
      </c>
      <c r="C13" s="1" t="str">
        <f>'Game Lines'!C18</f>
        <v>Dallas Cowboys</v>
      </c>
      <c r="D13" s="1">
        <f>'Game Lines'!D18</f>
        <v>2.8</v>
      </c>
      <c r="E13" s="1">
        <f>'Game Lines'!E18</f>
        <v>1.46</v>
      </c>
      <c r="F13" s="1">
        <f>'Game Lines'!F18</f>
        <v>4.5</v>
      </c>
      <c r="G13" s="1">
        <f>'Game Lines'!G18</f>
        <v>1.87</v>
      </c>
      <c r="H13" s="1">
        <f>'Game Lines'!H18</f>
        <v>-4.5</v>
      </c>
      <c r="I13" s="1">
        <f>'Game Lines'!I18</f>
        <v>1.95</v>
      </c>
      <c r="J13" s="5">
        <f>'Game Lines'!J18</f>
        <v>46282.683333333334</v>
      </c>
      <c r="K13" s="6" t="e">
        <f t="array" ref="K13">_xlfn.XLOOKUP(DATEVALUE(A13),'Week Lookup Table'!A:A,'Week Lookup Table'!B:B)</f>
        <v>#VALUE!</v>
      </c>
      <c r="L13" s="1">
        <f>'Game Lines'!L18</f>
        <v>0</v>
      </c>
    </row>
    <row r="14" spans="1:12" ht="15.75" customHeight="1" x14ac:dyDescent="0.15">
      <c r="A14" s="5">
        <f>'Game Lines'!A19</f>
        <v>46285.684027777781</v>
      </c>
      <c r="B14" s="1" t="str">
        <f>'Game Lines'!B19</f>
        <v>Miami Dolphins</v>
      </c>
      <c r="C14" s="1" t="str">
        <f>'Game Lines'!C19</f>
        <v>San Francisco 49ers</v>
      </c>
      <c r="D14" s="1">
        <f>'Game Lines'!D19</f>
        <v>7</v>
      </c>
      <c r="E14" s="1">
        <f>'Game Lines'!E19</f>
        <v>1.1100000000000001</v>
      </c>
      <c r="F14" s="1">
        <f>'Game Lines'!F19</f>
        <v>13.5</v>
      </c>
      <c r="G14" s="1">
        <f>'Game Lines'!G19</f>
        <v>1.87</v>
      </c>
      <c r="H14" s="1">
        <f>'Game Lines'!H19</f>
        <v>-13.5</v>
      </c>
      <c r="I14" s="1">
        <f>'Game Lines'!I19</f>
        <v>1.95</v>
      </c>
      <c r="J14" s="5">
        <f>'Game Lines'!J19</f>
        <v>46282.683333333334</v>
      </c>
      <c r="K14" s="6" t="e">
        <f t="array" ref="K14">_xlfn.XLOOKUP(DATEVALUE(A14),'Week Lookup Table'!A:A,'Week Lookup Table'!B:B)</f>
        <v>#VALUE!</v>
      </c>
      <c r="L14" s="1">
        <f>'Game Lines'!L19</f>
        <v>0</v>
      </c>
    </row>
    <row r="15" spans="1:12" ht="15.75" customHeight="1" x14ac:dyDescent="0.15">
      <c r="A15" s="5">
        <f>'Game Lines'!A20</f>
        <v>46285.847222222219</v>
      </c>
      <c r="B15" s="1" t="str">
        <f>'Game Lines'!B20</f>
        <v>Indianapolis Colts</v>
      </c>
      <c r="C15" s="1" t="str">
        <f>'Game Lines'!C20</f>
        <v>Kansas City Chiefs</v>
      </c>
      <c r="D15" s="1">
        <f>'Game Lines'!D20</f>
        <v>3.35</v>
      </c>
      <c r="E15" s="1">
        <f>'Game Lines'!E20</f>
        <v>1.34</v>
      </c>
      <c r="F15" s="1">
        <f>'Game Lines'!F20</f>
        <v>6.5</v>
      </c>
      <c r="G15" s="1">
        <f>'Game Lines'!G20</f>
        <v>2</v>
      </c>
      <c r="H15" s="1">
        <f>'Game Lines'!H20</f>
        <v>-6.5</v>
      </c>
      <c r="I15" s="1">
        <f>'Game Lines'!I20</f>
        <v>1.83</v>
      </c>
      <c r="J15" s="5">
        <f>'Game Lines'!J20</f>
        <v>46282.683333333334</v>
      </c>
      <c r="K15" s="6" t="e">
        <f t="array" ref="K15">_xlfn.XLOOKUP(DATEVALUE(A15),'Week Lookup Table'!A:A,'Week Lookup Table'!B:B)</f>
        <v>#VALUE!</v>
      </c>
      <c r="L15" s="1">
        <f>'Game Lines'!L20</f>
        <v>0</v>
      </c>
    </row>
    <row r="16" spans="1:12" ht="15.75" customHeight="1" x14ac:dyDescent="0.15">
      <c r="A16" s="5">
        <f>'Game Lines'!A21</f>
        <v>46286.84375</v>
      </c>
      <c r="B16" s="1" t="str">
        <f>'Game Lines'!B21</f>
        <v>New York Giants</v>
      </c>
      <c r="C16" s="1" t="str">
        <f>'Game Lines'!C21</f>
        <v>Los Angeles Rams</v>
      </c>
      <c r="D16" s="1">
        <f>'Game Lines'!D21</f>
        <v>3.85</v>
      </c>
      <c r="E16" s="1">
        <f>'Game Lines'!E21</f>
        <v>1.28</v>
      </c>
      <c r="F16" s="1">
        <f>'Game Lines'!F21</f>
        <v>7</v>
      </c>
      <c r="G16" s="1">
        <f>'Game Lines'!G21</f>
        <v>1.98</v>
      </c>
      <c r="H16" s="1">
        <f>'Game Lines'!H21</f>
        <v>-7</v>
      </c>
      <c r="I16" s="1">
        <f>'Game Lines'!I21</f>
        <v>1.85</v>
      </c>
      <c r="J16" s="5">
        <f>'Game Lines'!J21</f>
        <v>46282.683333333334</v>
      </c>
      <c r="K16" s="6" t="e">
        <f t="array" ref="K16">_xlfn.XLOOKUP(DATEVALUE(A16),'Week Lookup Table'!A:A,'Week Lookup Table'!B:B)</f>
        <v>#VALUE!</v>
      </c>
      <c r="L16" s="1">
        <f>'Game Lines'!L21</f>
        <v>0</v>
      </c>
    </row>
    <row r="17" spans="1:12" ht="15.75" customHeight="1" x14ac:dyDescent="0.15">
      <c r="A17" s="5">
        <f>'Game Lines'!A22</f>
        <v>46289.84375</v>
      </c>
      <c r="B17" s="1" t="str">
        <f>'Game Lines'!B22</f>
        <v>Atlanta Falcons</v>
      </c>
      <c r="C17" s="1" t="str">
        <f>'Game Lines'!C22</f>
        <v>Green Bay Packers</v>
      </c>
      <c r="D17" s="1">
        <f>'Game Lines'!D22</f>
        <v>3.5</v>
      </c>
      <c r="E17" s="1">
        <f>'Game Lines'!E22</f>
        <v>1.32</v>
      </c>
      <c r="F17" s="1">
        <f>'Game Lines'!F22</f>
        <v>6.5</v>
      </c>
      <c r="G17" s="1">
        <f>'Game Lines'!G22</f>
        <v>1.95</v>
      </c>
      <c r="H17" s="1">
        <f>'Game Lines'!H22</f>
        <v>-6.5</v>
      </c>
      <c r="I17" s="1">
        <f>'Game Lines'!I22</f>
        <v>1.87</v>
      </c>
      <c r="J17" s="5">
        <f>'Game Lines'!J22</f>
        <v>46282.683333333334</v>
      </c>
      <c r="K17" s="6" t="e">
        <f t="array" ref="K17">_xlfn.XLOOKUP(DATEVALUE(A17),'Week Lookup Table'!A:A,'Week Lookup Table'!B:B)</f>
        <v>#VALUE!</v>
      </c>
      <c r="L17" s="1">
        <f>'Game Lines'!L22</f>
        <v>0</v>
      </c>
    </row>
    <row r="18" spans="1:12" ht="15.75" customHeight="1" x14ac:dyDescent="0.15">
      <c r="A18" s="5">
        <f>'Game Lines'!A23</f>
        <v>46292.541666666664</v>
      </c>
      <c r="B18" s="1" t="str">
        <f>'Game Lines'!B23</f>
        <v>Los Angeles Chargers</v>
      </c>
      <c r="C18" s="1" t="str">
        <f>'Game Lines'!C23</f>
        <v>Buffalo Bills</v>
      </c>
      <c r="D18" s="1">
        <f>'Game Lines'!D23</f>
        <v>2.85</v>
      </c>
      <c r="E18" s="1">
        <f>'Game Lines'!E23</f>
        <v>1.44</v>
      </c>
      <c r="F18" s="1">
        <f>'Game Lines'!F23</f>
        <v>4.5</v>
      </c>
      <c r="G18" s="1">
        <f>'Game Lines'!G23</f>
        <v>1.91</v>
      </c>
      <c r="H18" s="1">
        <f>'Game Lines'!H23</f>
        <v>-4.5</v>
      </c>
      <c r="I18" s="1">
        <f>'Game Lines'!I23</f>
        <v>1.91</v>
      </c>
      <c r="J18" s="5">
        <f>'Game Lines'!J23</f>
        <v>46282.683333333334</v>
      </c>
      <c r="K18" s="6" t="e">
        <f t="array" ref="K18">_xlfn.XLOOKUP(DATEVALUE(A18),'Week Lookup Table'!A:A,'Week Lookup Table'!B:B)</f>
        <v>#VALUE!</v>
      </c>
      <c r="L18" s="1">
        <f>'Game Lines'!L23</f>
        <v>0</v>
      </c>
    </row>
    <row r="19" spans="1:12" ht="15.75" customHeight="1" x14ac:dyDescent="0.15">
      <c r="A19" s="5">
        <f>'Game Lines'!A24</f>
        <v>46292.541666666664</v>
      </c>
      <c r="B19" s="1" t="str">
        <f>'Game Lines'!B24</f>
        <v>Carolina Panthers</v>
      </c>
      <c r="C19" s="1" t="str">
        <f>'Game Lines'!C24</f>
        <v>Cleveland Browns</v>
      </c>
      <c r="D19" s="1">
        <f>'Game Lines'!D24</f>
        <v>1.7</v>
      </c>
      <c r="E19" s="1">
        <f>'Game Lines'!E24</f>
        <v>2.2000000000000002</v>
      </c>
      <c r="F19" s="1">
        <f>'Game Lines'!F24</f>
        <v>-2.5</v>
      </c>
      <c r="G19" s="1">
        <f>'Game Lines'!G24</f>
        <v>1.87</v>
      </c>
      <c r="H19" s="1">
        <f>'Game Lines'!H24</f>
        <v>2.5</v>
      </c>
      <c r="I19" s="1">
        <f>'Game Lines'!I24</f>
        <v>1.95</v>
      </c>
      <c r="J19" s="5">
        <f>'Game Lines'!J24</f>
        <v>46282.683333333334</v>
      </c>
      <c r="K19" s="6" t="e">
        <f t="array" ref="K19">_xlfn.XLOOKUP(DATEVALUE(A19),'Week Lookup Table'!A:A,'Week Lookup Table'!B:B)</f>
        <v>#VALUE!</v>
      </c>
      <c r="L19" s="1">
        <f>'Game Lines'!L24</f>
        <v>0</v>
      </c>
    </row>
    <row r="20" spans="1:12" ht="15.75" customHeight="1" x14ac:dyDescent="0.15">
      <c r="A20" s="5">
        <f>'Game Lines'!A25</f>
        <v>46292.541666666664</v>
      </c>
      <c r="B20" s="1" t="str">
        <f>'Game Lines'!B25</f>
        <v>Cincinnati Bengals</v>
      </c>
      <c r="C20" s="1" t="str">
        <f>'Game Lines'!C25</f>
        <v>Pittsburgh Steelers</v>
      </c>
      <c r="D20" s="1">
        <f>'Game Lines'!D25</f>
        <v>1.74</v>
      </c>
      <c r="E20" s="1">
        <f>'Game Lines'!E25</f>
        <v>2.14</v>
      </c>
      <c r="F20" s="1">
        <f>'Game Lines'!F25</f>
        <v>-2.5</v>
      </c>
      <c r="G20" s="1">
        <f>'Game Lines'!G25</f>
        <v>1.91</v>
      </c>
      <c r="H20" s="1">
        <f>'Game Lines'!H25</f>
        <v>2.5</v>
      </c>
      <c r="I20" s="1">
        <f>'Game Lines'!I25</f>
        <v>1.91</v>
      </c>
      <c r="J20" s="5">
        <f>'Game Lines'!J25</f>
        <v>46282.683333333334</v>
      </c>
      <c r="K20" s="6" t="e">
        <f t="array" ref="K20">_xlfn.XLOOKUP(DATEVALUE(A20),'Week Lookup Table'!A:A,'Week Lookup Table'!B:B)</f>
        <v>#VALUE!</v>
      </c>
      <c r="L20" s="1">
        <f>'Game Lines'!L25</f>
        <v>0</v>
      </c>
    </row>
    <row r="21" spans="1:12" ht="15.75" customHeight="1" x14ac:dyDescent="0.15">
      <c r="A21" s="5">
        <f>'Game Lines'!A26</f>
        <v>46292.541666666664</v>
      </c>
      <c r="B21" s="1" t="str">
        <f>'Game Lines'!B26</f>
        <v>New York Jets</v>
      </c>
      <c r="C21" s="1" t="str">
        <f>'Game Lines'!C26</f>
        <v>Detroit Lions</v>
      </c>
      <c r="D21" s="1">
        <f>'Game Lines'!D26</f>
        <v>3.75</v>
      </c>
      <c r="E21" s="1">
        <f>'Game Lines'!E26</f>
        <v>1.29</v>
      </c>
      <c r="F21" s="1">
        <f>'Game Lines'!F26</f>
        <v>7</v>
      </c>
      <c r="G21" s="1">
        <f>'Game Lines'!G26</f>
        <v>1.91</v>
      </c>
      <c r="H21" s="1">
        <f>'Game Lines'!H26</f>
        <v>-7</v>
      </c>
      <c r="I21" s="1">
        <f>'Game Lines'!I26</f>
        <v>1.91</v>
      </c>
      <c r="J21" s="5">
        <f>'Game Lines'!J26</f>
        <v>46282.683333333334</v>
      </c>
      <c r="K21" s="6" t="e">
        <f t="array" ref="K21">_xlfn.XLOOKUP(DATEVALUE(A21),'Week Lookup Table'!A:A,'Week Lookup Table'!B:B)</f>
        <v>#VALUE!</v>
      </c>
      <c r="L21" s="1">
        <f>'Game Lines'!L26</f>
        <v>0</v>
      </c>
    </row>
    <row r="22" spans="1:12" ht="15.75" customHeight="1" x14ac:dyDescent="0.15">
      <c r="A22" s="5">
        <f>'Game Lines'!A27</f>
        <v>46292.541666666664</v>
      </c>
      <c r="B22" s="1" t="str">
        <f>'Game Lines'!B27</f>
        <v>Houston Texans</v>
      </c>
      <c r="C22" s="1" t="str">
        <f>'Game Lines'!C27</f>
        <v>Indianapolis Colts</v>
      </c>
      <c r="D22" s="1">
        <f>'Game Lines'!D27</f>
        <v>1.74</v>
      </c>
      <c r="E22" s="1">
        <f>'Game Lines'!E27</f>
        <v>2.14</v>
      </c>
      <c r="F22" s="1">
        <f>'Game Lines'!F27</f>
        <v>-2.5</v>
      </c>
      <c r="G22" s="1">
        <f>'Game Lines'!G27</f>
        <v>1.91</v>
      </c>
      <c r="H22" s="1">
        <f>'Game Lines'!H27</f>
        <v>2.5</v>
      </c>
      <c r="I22" s="1">
        <f>'Game Lines'!I27</f>
        <v>1.91</v>
      </c>
      <c r="J22" s="5">
        <f>'Game Lines'!J27</f>
        <v>46282.683333333334</v>
      </c>
      <c r="K22" s="6" t="e">
        <f t="array" ref="K22">_xlfn.XLOOKUP(DATEVALUE(A22),'Week Lookup Table'!A:A,'Week Lookup Table'!B:B)</f>
        <v>#VALUE!</v>
      </c>
      <c r="L22" s="1">
        <f>'Game Lines'!L27</f>
        <v>0</v>
      </c>
    </row>
    <row r="23" spans="1:12" ht="15.75" customHeight="1" x14ac:dyDescent="0.15">
      <c r="A23" s="5">
        <f>'Game Lines'!A28</f>
        <v>46292.541666666664</v>
      </c>
      <c r="B23" s="1" t="str">
        <f>'Game Lines'!B28</f>
        <v>New England Patriots</v>
      </c>
      <c r="C23" s="1" t="str">
        <f>'Game Lines'!C28</f>
        <v>Jacksonville Jaguars</v>
      </c>
      <c r="D23" s="1">
        <f>'Game Lines'!D28</f>
        <v>2.14</v>
      </c>
      <c r="E23" s="1">
        <f>'Game Lines'!E28</f>
        <v>1.74</v>
      </c>
      <c r="F23" s="1">
        <f>'Game Lines'!F28</f>
        <v>2.5</v>
      </c>
      <c r="G23" s="1">
        <f>'Game Lines'!G28</f>
        <v>1.91</v>
      </c>
      <c r="H23" s="1">
        <f>'Game Lines'!H28</f>
        <v>-2.5</v>
      </c>
      <c r="I23" s="1">
        <f>'Game Lines'!I28</f>
        <v>1.91</v>
      </c>
      <c r="J23" s="5">
        <f>'Game Lines'!J28</f>
        <v>46282.683333333334</v>
      </c>
      <c r="K23" s="6" t="e">
        <f t="array" ref="K23">_xlfn.XLOOKUP(DATEVALUE(A23),'Week Lookup Table'!A:A,'Week Lookup Table'!B:B)</f>
        <v>#VALUE!</v>
      </c>
      <c r="L23" s="1">
        <f>'Game Lines'!L28</f>
        <v>0</v>
      </c>
    </row>
    <row r="24" spans="1:12" ht="15.75" customHeight="1" x14ac:dyDescent="0.15">
      <c r="A24" s="5">
        <f>'Game Lines'!A29</f>
        <v>46292.541666666664</v>
      </c>
      <c r="B24" s="1" t="str">
        <f>'Game Lines'!B29</f>
        <v>Kansas City Chiefs</v>
      </c>
      <c r="C24" s="1" t="str">
        <f>'Game Lines'!C29</f>
        <v>Miami Dolphins</v>
      </c>
      <c r="D24" s="1">
        <f>'Game Lines'!D29</f>
        <v>1.22</v>
      </c>
      <c r="E24" s="1">
        <f>'Game Lines'!E29</f>
        <v>4.5</v>
      </c>
      <c r="F24" s="1">
        <f>'Game Lines'!F29</f>
        <v>-8.5</v>
      </c>
      <c r="G24" s="1">
        <f>'Game Lines'!G29</f>
        <v>1.91</v>
      </c>
      <c r="H24" s="1">
        <f>'Game Lines'!H29</f>
        <v>8.5</v>
      </c>
      <c r="I24" s="1">
        <f>'Game Lines'!I29</f>
        <v>1.91</v>
      </c>
      <c r="J24" s="5">
        <f>'Game Lines'!J29</f>
        <v>46282.683333333334</v>
      </c>
      <c r="K24" s="6" t="e">
        <f t="array" ref="K24">_xlfn.XLOOKUP(DATEVALUE(A24),'Week Lookup Table'!A:A,'Week Lookup Table'!B:B)</f>
        <v>#VALUE!</v>
      </c>
      <c r="L24" s="1">
        <f>'Game Lines'!L29</f>
        <v>0</v>
      </c>
    </row>
    <row r="25" spans="1:12" ht="15.75" customHeight="1" x14ac:dyDescent="0.15">
      <c r="A25" s="5">
        <f>'Game Lines'!A30</f>
        <v>46292.541666666664</v>
      </c>
      <c r="B25" s="1" t="str">
        <f>'Game Lines'!B30</f>
        <v>Tennessee Titans</v>
      </c>
      <c r="C25" s="1" t="str">
        <f>'Game Lines'!C30</f>
        <v>New York Giants</v>
      </c>
      <c r="D25" s="1">
        <f>'Game Lines'!D30</f>
        <v>3.05</v>
      </c>
      <c r="E25" s="1">
        <f>'Game Lines'!E30</f>
        <v>1.4</v>
      </c>
      <c r="F25" s="1">
        <f>'Game Lines'!F30</f>
        <v>5.5</v>
      </c>
      <c r="G25" s="1">
        <f>'Game Lines'!G30</f>
        <v>1.91</v>
      </c>
      <c r="H25" s="1">
        <f>'Game Lines'!H30</f>
        <v>-5.5</v>
      </c>
      <c r="I25" s="1">
        <f>'Game Lines'!I30</f>
        <v>1.91</v>
      </c>
      <c r="J25" s="5">
        <f>'Game Lines'!J30</f>
        <v>46282.683333333334</v>
      </c>
      <c r="K25" s="6" t="e">
        <f t="array" ref="K25">_xlfn.XLOOKUP(DATEVALUE(A25),'Week Lookup Table'!A:A,'Week Lookup Table'!B:B)</f>
        <v>#VALUE!</v>
      </c>
      <c r="L25" s="1">
        <f>'Game Lines'!L30</f>
        <v>0</v>
      </c>
    </row>
    <row r="26" spans="1:12" ht="15.75" customHeight="1" x14ac:dyDescent="0.15">
      <c r="A26" s="5">
        <f>'Game Lines'!A31</f>
        <v>46292.541666666664</v>
      </c>
      <c r="B26" s="1" t="str">
        <f>'Game Lines'!B31</f>
        <v>Seattle Seahawks</v>
      </c>
      <c r="C26" s="1" t="str">
        <f>'Game Lines'!C31</f>
        <v>Washington Commanders</v>
      </c>
      <c r="D26" s="1">
        <f>'Game Lines'!D31</f>
        <v>1.74</v>
      </c>
      <c r="E26" s="1">
        <f>'Game Lines'!E31</f>
        <v>2.14</v>
      </c>
      <c r="F26" s="1">
        <f>'Game Lines'!F31</f>
        <v>-2.5</v>
      </c>
      <c r="G26" s="1">
        <f>'Game Lines'!G31</f>
        <v>1.91</v>
      </c>
      <c r="H26" s="1">
        <f>'Game Lines'!H31</f>
        <v>2.5</v>
      </c>
      <c r="I26" s="1">
        <f>'Game Lines'!I31</f>
        <v>1.91</v>
      </c>
      <c r="J26" s="5">
        <f>'Game Lines'!J31</f>
        <v>46282.683333333334</v>
      </c>
      <c r="K26" s="6" t="e">
        <f t="array" ref="K26">_xlfn.XLOOKUP(DATEVALUE(A26),'Week Lookup Table'!A:A,'Week Lookup Table'!B:B)</f>
        <v>#VALUE!</v>
      </c>
      <c r="L26" s="1">
        <f>'Game Lines'!L31</f>
        <v>0</v>
      </c>
    </row>
    <row r="27" spans="1:12" ht="15.75" customHeight="1" x14ac:dyDescent="0.15">
      <c r="A27" s="5">
        <f>'Game Lines'!A32</f>
        <v>46292.670138888891</v>
      </c>
      <c r="B27" s="1" t="str">
        <f>'Game Lines'!B32</f>
        <v>Arizona Cardinals</v>
      </c>
      <c r="C27" s="1" t="str">
        <f>'Game Lines'!C32</f>
        <v>San Francisco 49ers</v>
      </c>
      <c r="D27" s="1">
        <f>'Game Lines'!D32</f>
        <v>4.7</v>
      </c>
      <c r="E27" s="1">
        <f>'Game Lines'!E32</f>
        <v>1.21</v>
      </c>
      <c r="F27" s="1">
        <f>'Game Lines'!F32</f>
        <v>8.5</v>
      </c>
      <c r="G27" s="1">
        <f>'Game Lines'!G32</f>
        <v>1.91</v>
      </c>
      <c r="H27" s="1">
        <f>'Game Lines'!H32</f>
        <v>-8.5</v>
      </c>
      <c r="I27" s="1">
        <f>'Game Lines'!I32</f>
        <v>1.91</v>
      </c>
      <c r="J27" s="5">
        <f>'Game Lines'!J32</f>
        <v>46282.683333333334</v>
      </c>
      <c r="K27" s="6" t="e">
        <f t="array" ref="K27">_xlfn.XLOOKUP(DATEVALUE(A27),'Week Lookup Table'!A:A,'Week Lookup Table'!B:B)</f>
        <v>#VALUE!</v>
      </c>
      <c r="L27" s="1">
        <f>'Game Lines'!L32</f>
        <v>0</v>
      </c>
    </row>
    <row r="28" spans="1:12" ht="15.75" customHeight="1" x14ac:dyDescent="0.15">
      <c r="A28" s="5">
        <f>'Game Lines'!A33</f>
        <v>46292.670138888891</v>
      </c>
      <c r="B28" s="1" t="str">
        <f>'Game Lines'!B33</f>
        <v>Minnesota Vikings</v>
      </c>
      <c r="C28" s="1" t="str">
        <f>'Game Lines'!C33</f>
        <v>Tampa Bay Buccaneers</v>
      </c>
      <c r="D28" s="1">
        <f>'Game Lines'!D33</f>
        <v>2.0499999999999998</v>
      </c>
      <c r="E28" s="1">
        <f>'Game Lines'!E33</f>
        <v>1.8</v>
      </c>
      <c r="F28" s="1">
        <f>'Game Lines'!F33</f>
        <v>1.5</v>
      </c>
      <c r="G28" s="1">
        <f>'Game Lines'!G33</f>
        <v>1.91</v>
      </c>
      <c r="H28" s="1">
        <f>'Game Lines'!H33</f>
        <v>-1.5</v>
      </c>
      <c r="I28" s="1">
        <f>'Game Lines'!I33</f>
        <v>1.91</v>
      </c>
      <c r="J28" s="5">
        <f>'Game Lines'!J33</f>
        <v>46282.683333333334</v>
      </c>
      <c r="K28" s="6" t="e">
        <f t="array" ref="K28">_xlfn.XLOOKUP(DATEVALUE(A28),'Week Lookup Table'!A:A,'Week Lookup Table'!B:B)</f>
        <v>#VALUE!</v>
      </c>
      <c r="L28" s="1">
        <f>'Game Lines'!L33</f>
        <v>0</v>
      </c>
    </row>
    <row r="29" spans="1:12" ht="15.75" customHeight="1" x14ac:dyDescent="0.15">
      <c r="A29" s="5">
        <f>'Game Lines'!A34</f>
        <v>46292.684027777781</v>
      </c>
      <c r="B29" s="1" t="str">
        <f>'Game Lines'!B34</f>
        <v>Baltimore Ravens</v>
      </c>
      <c r="C29" s="1" t="str">
        <f>'Game Lines'!C34</f>
        <v>Dallas Cowboys</v>
      </c>
      <c r="D29" s="1">
        <f>'Game Lines'!D34</f>
        <v>1.65</v>
      </c>
      <c r="E29" s="1">
        <f>'Game Lines'!E34</f>
        <v>2.2999999999999998</v>
      </c>
      <c r="F29" s="1">
        <f>'Game Lines'!F34</f>
        <v>-3</v>
      </c>
      <c r="G29" s="1">
        <f>'Game Lines'!G34</f>
        <v>1.91</v>
      </c>
      <c r="H29" s="1">
        <f>'Game Lines'!H34</f>
        <v>3</v>
      </c>
      <c r="I29" s="1">
        <f>'Game Lines'!I34</f>
        <v>1.91</v>
      </c>
      <c r="J29" s="5">
        <f>'Game Lines'!J34</f>
        <v>46282.683333333334</v>
      </c>
      <c r="K29" s="6" t="e">
        <f t="array" ref="K29">_xlfn.XLOOKUP(DATEVALUE(A29),'Week Lookup Table'!A:A,'Week Lookup Table'!B:B)</f>
        <v>#VALUE!</v>
      </c>
      <c r="L29" s="1">
        <f>'Game Lines'!L34</f>
        <v>0</v>
      </c>
    </row>
    <row r="30" spans="1:12" ht="15.75" customHeight="1" x14ac:dyDescent="0.15">
      <c r="A30" s="5">
        <f>'Game Lines'!A35</f>
        <v>46292.684027777781</v>
      </c>
      <c r="B30" s="1" t="str">
        <f>'Game Lines'!B35</f>
        <v>Las Vegas Raiders</v>
      </c>
      <c r="C30" s="1" t="str">
        <f>'Game Lines'!C35</f>
        <v>New Orleans Saints</v>
      </c>
      <c r="D30" s="1">
        <f>'Game Lines'!D35</f>
        <v>2.36</v>
      </c>
      <c r="E30" s="1">
        <f>'Game Lines'!E35</f>
        <v>1.62</v>
      </c>
      <c r="F30" s="1">
        <f>'Game Lines'!F35</f>
        <v>3</v>
      </c>
      <c r="G30" s="1">
        <f>'Game Lines'!G35</f>
        <v>1.91</v>
      </c>
      <c r="H30" s="1">
        <f>'Game Lines'!H35</f>
        <v>-3</v>
      </c>
      <c r="I30" s="1">
        <f>'Game Lines'!I35</f>
        <v>1.91</v>
      </c>
      <c r="J30" s="5">
        <f>'Game Lines'!J35</f>
        <v>46282.683333333334</v>
      </c>
      <c r="K30" s="6" t="e">
        <f t="array" ref="K30">_xlfn.XLOOKUP(DATEVALUE(A30),'Week Lookup Table'!A:A,'Week Lookup Table'!B:B)</f>
        <v>#VALUE!</v>
      </c>
      <c r="L30" s="1">
        <f>'Game Lines'!L35</f>
        <v>0</v>
      </c>
    </row>
    <row r="31" spans="1:12" ht="15.75" customHeight="1" x14ac:dyDescent="0.15">
      <c r="A31" s="5">
        <f>'Game Lines'!A36</f>
        <v>46292.847222222219</v>
      </c>
      <c r="B31" s="1" t="str">
        <f>'Game Lines'!B36</f>
        <v>Los Angeles Rams</v>
      </c>
      <c r="C31" s="1" t="str">
        <f>'Game Lines'!C36</f>
        <v>Denver Broncos</v>
      </c>
      <c r="D31" s="1">
        <f>'Game Lines'!D36</f>
        <v>1.74</v>
      </c>
      <c r="E31" s="1">
        <f>'Game Lines'!E36</f>
        <v>2.14</v>
      </c>
      <c r="F31" s="1">
        <f>'Game Lines'!F36</f>
        <v>-2.5</v>
      </c>
      <c r="G31" s="1">
        <f>'Game Lines'!G36</f>
        <v>1.91</v>
      </c>
      <c r="H31" s="1">
        <f>'Game Lines'!H36</f>
        <v>2.5</v>
      </c>
      <c r="I31" s="1">
        <f>'Game Lines'!I36</f>
        <v>1.91</v>
      </c>
      <c r="J31" s="5">
        <f>'Game Lines'!J36</f>
        <v>46282.683333333334</v>
      </c>
      <c r="K31" s="6" t="e">
        <f t="array" ref="K31">_xlfn.XLOOKUP(DATEVALUE(A31),'Week Lookup Table'!A:A,'Week Lookup Table'!B:B)</f>
        <v>#VALUE!</v>
      </c>
      <c r="L31" s="1">
        <f>'Game Lines'!L36</f>
        <v>0</v>
      </c>
    </row>
    <row r="32" spans="1:12" ht="15.75" customHeight="1" x14ac:dyDescent="0.15">
      <c r="A32" s="5">
        <f>'Game Lines'!A37</f>
        <v>46293.84375</v>
      </c>
      <c r="B32" s="1" t="str">
        <f>'Game Lines'!B37</f>
        <v>Philadelphia Eagles</v>
      </c>
      <c r="C32" s="1" t="str">
        <f>'Game Lines'!C37</f>
        <v>Chicago Bears</v>
      </c>
      <c r="D32" s="1">
        <f>'Game Lines'!D37</f>
        <v>1.98</v>
      </c>
      <c r="E32" s="1">
        <f>'Game Lines'!E37</f>
        <v>1.85</v>
      </c>
      <c r="F32" s="1">
        <f>'Game Lines'!F37</f>
        <v>1.5</v>
      </c>
      <c r="G32" s="1">
        <f>'Game Lines'!G37</f>
        <v>1.87</v>
      </c>
      <c r="H32" s="1">
        <f>'Game Lines'!H37</f>
        <v>-1.5</v>
      </c>
      <c r="I32" s="1">
        <f>'Game Lines'!I37</f>
        <v>1.95</v>
      </c>
      <c r="J32" s="5">
        <f>'Game Lines'!J37</f>
        <v>46282.683333333334</v>
      </c>
      <c r="K32" s="6" t="e">
        <f t="array" ref="K32">_xlfn.XLOOKUP(DATEVALUE(A32),'Week Lookup Table'!A:A,'Week Lookup Table'!B:B)</f>
        <v>#VALUE!</v>
      </c>
      <c r="L32" s="1">
        <f>'Game Lines'!L37</f>
        <v>0</v>
      </c>
    </row>
    <row r="33" spans="1:12" ht="15.75" customHeight="1" x14ac:dyDescent="0.15">
      <c r="A33" s="5">
        <f>'Game Lines'!A38</f>
        <v>0</v>
      </c>
      <c r="B33" s="1">
        <f>'Game Lines'!B38</f>
        <v>0</v>
      </c>
      <c r="C33" s="1">
        <f>'Game Lines'!C38</f>
        <v>0</v>
      </c>
      <c r="D33" s="1">
        <f>'Game Lines'!D38</f>
        <v>0</v>
      </c>
      <c r="E33" s="1">
        <f>'Game Lines'!E38</f>
        <v>0</v>
      </c>
      <c r="F33" s="1">
        <f>'Game Lines'!F38</f>
        <v>0</v>
      </c>
      <c r="G33" s="1">
        <f>'Game Lines'!G38</f>
        <v>0</v>
      </c>
      <c r="H33" s="1">
        <f>'Game Lines'!H38</f>
        <v>0</v>
      </c>
      <c r="I33" s="1">
        <f>'Game Lines'!I38</f>
        <v>0</v>
      </c>
      <c r="J33" s="5">
        <f>'Game Lines'!J38</f>
        <v>0</v>
      </c>
      <c r="K33" s="1" t="e">
        <f t="array" ref="K33">_xlfn.XLOOKUP(DATEVALUE(A33),'Week Lookup Table'!A:A,'Week Lookup Table'!B:B)</f>
        <v>#VALUE!</v>
      </c>
      <c r="L33" s="1">
        <f>'Game Lines'!L38</f>
        <v>0</v>
      </c>
    </row>
    <row r="34" spans="1:12" ht="15.75" customHeight="1" x14ac:dyDescent="0.15">
      <c r="A34" s="5">
        <f>'Game Lines'!A39</f>
        <v>0</v>
      </c>
      <c r="B34" s="1">
        <f>'Game Lines'!B39</f>
        <v>0</v>
      </c>
      <c r="C34" s="1">
        <f>'Game Lines'!C39</f>
        <v>0</v>
      </c>
      <c r="D34" s="1">
        <f>'Game Lines'!D39</f>
        <v>0</v>
      </c>
      <c r="E34" s="1">
        <f>'Game Lines'!E39</f>
        <v>0</v>
      </c>
      <c r="F34" s="1">
        <f>'Game Lines'!F39</f>
        <v>0</v>
      </c>
      <c r="G34" s="1">
        <f>'Game Lines'!G39</f>
        <v>0</v>
      </c>
      <c r="H34" s="1">
        <f>'Game Lines'!H39</f>
        <v>0</v>
      </c>
      <c r="I34" s="1">
        <f>'Game Lines'!I39</f>
        <v>0</v>
      </c>
      <c r="J34" s="5">
        <f>'Game Lines'!J39</f>
        <v>0</v>
      </c>
      <c r="K34" s="1" t="e">
        <f t="array" ref="K34">_xlfn.XLOOKUP(DATEVALUE(A34),'Week Lookup Table'!A:A,'Week Lookup Table'!B:B)</f>
        <v>#VALUE!</v>
      </c>
      <c r="L34" s="1">
        <f>'Game Lines'!L39</f>
        <v>0</v>
      </c>
    </row>
    <row r="35" spans="1:12" ht="15.75" customHeight="1" x14ac:dyDescent="0.15">
      <c r="A35" s="5">
        <f>'Game Lines'!A40</f>
        <v>0</v>
      </c>
      <c r="B35" s="1">
        <f>'Game Lines'!B40</f>
        <v>0</v>
      </c>
      <c r="C35" s="1">
        <f>'Game Lines'!C40</f>
        <v>0</v>
      </c>
      <c r="D35" s="1">
        <f>'Game Lines'!D40</f>
        <v>0</v>
      </c>
      <c r="E35" s="1">
        <f>'Game Lines'!E40</f>
        <v>0</v>
      </c>
      <c r="F35" s="1">
        <f>'Game Lines'!F40</f>
        <v>0</v>
      </c>
      <c r="G35" s="1">
        <f>'Game Lines'!G40</f>
        <v>0</v>
      </c>
      <c r="H35" s="1">
        <f>'Game Lines'!H40</f>
        <v>0</v>
      </c>
      <c r="I35" s="1">
        <f>'Game Lines'!I40</f>
        <v>0</v>
      </c>
      <c r="J35" s="5">
        <f>'Game Lines'!J40</f>
        <v>0</v>
      </c>
      <c r="K35" s="1" t="e">
        <f t="array" ref="K35">_xlfn.XLOOKUP(DATEVALUE(A35),'Week Lookup Table'!A:A,'Week Lookup Table'!B:B)</f>
        <v>#VALUE!</v>
      </c>
      <c r="L35" s="1">
        <f>'Game Lines'!L40</f>
        <v>0</v>
      </c>
    </row>
    <row r="36" spans="1:12" ht="15.75" customHeight="1" x14ac:dyDescent="0.15">
      <c r="A36" s="5">
        <f>'Game Lines'!A41</f>
        <v>0</v>
      </c>
      <c r="B36" s="1">
        <f>'Game Lines'!B41</f>
        <v>0</v>
      </c>
      <c r="C36" s="1">
        <f>'Game Lines'!C41</f>
        <v>0</v>
      </c>
      <c r="D36" s="1">
        <f>'Game Lines'!D41</f>
        <v>0</v>
      </c>
      <c r="E36" s="1">
        <f>'Game Lines'!E41</f>
        <v>0</v>
      </c>
      <c r="F36" s="1">
        <f>'Game Lines'!F41</f>
        <v>0</v>
      </c>
      <c r="G36" s="1">
        <f>'Game Lines'!G41</f>
        <v>0</v>
      </c>
      <c r="H36" s="1">
        <f>'Game Lines'!H41</f>
        <v>0</v>
      </c>
      <c r="I36" s="1">
        <f>'Game Lines'!I41</f>
        <v>0</v>
      </c>
      <c r="J36" s="5">
        <f>'Game Lines'!J41</f>
        <v>0</v>
      </c>
      <c r="K36" s="1" t="e">
        <f t="array" ref="K36">_xlfn.XLOOKUP(DATEVALUE(A36),'Week Lookup Table'!A:A,'Week Lookup Table'!B:B)</f>
        <v>#VALUE!</v>
      </c>
      <c r="L36" s="1">
        <f>'Game Lines'!L41</f>
        <v>0</v>
      </c>
    </row>
    <row r="37" spans="1:12" ht="15.75" customHeight="1" x14ac:dyDescent="0.15">
      <c r="A37" s="5">
        <f>'Game Lines'!A42</f>
        <v>0</v>
      </c>
      <c r="B37" s="1">
        <f>'Game Lines'!B42</f>
        <v>0</v>
      </c>
      <c r="C37" s="1">
        <f>'Game Lines'!C42</f>
        <v>0</v>
      </c>
      <c r="D37" s="1">
        <f>'Game Lines'!D42</f>
        <v>0</v>
      </c>
      <c r="E37" s="1">
        <f>'Game Lines'!E42</f>
        <v>0</v>
      </c>
      <c r="F37" s="1">
        <f>'Game Lines'!F42</f>
        <v>0</v>
      </c>
      <c r="G37" s="1">
        <f>'Game Lines'!G42</f>
        <v>0</v>
      </c>
      <c r="H37" s="1">
        <f>'Game Lines'!H42</f>
        <v>0</v>
      </c>
      <c r="I37" s="1">
        <f>'Game Lines'!I42</f>
        <v>0</v>
      </c>
      <c r="J37" s="5">
        <f>'Game Lines'!J42</f>
        <v>0</v>
      </c>
      <c r="K37" s="1" t="e">
        <f t="array" ref="K37">_xlfn.XLOOKUP(DATEVALUE(A37),'Week Lookup Table'!A:A,'Week Lookup Table'!B:B)</f>
        <v>#VALUE!</v>
      </c>
      <c r="L37" s="1">
        <f>'Game Lines'!L42</f>
        <v>0</v>
      </c>
    </row>
    <row r="38" spans="1:12" ht="15.75" customHeight="1" x14ac:dyDescent="0.15">
      <c r="A38" s="5">
        <f>'Game Lines'!A43</f>
        <v>0</v>
      </c>
      <c r="B38" s="1">
        <f>'Game Lines'!B43</f>
        <v>0</v>
      </c>
      <c r="C38" s="1">
        <f>'Game Lines'!C43</f>
        <v>0</v>
      </c>
      <c r="D38" s="1">
        <f>'Game Lines'!D43</f>
        <v>0</v>
      </c>
      <c r="E38" s="1">
        <f>'Game Lines'!E43</f>
        <v>0</v>
      </c>
      <c r="F38" s="1">
        <f>'Game Lines'!F43</f>
        <v>0</v>
      </c>
      <c r="G38" s="1">
        <f>'Game Lines'!G43</f>
        <v>0</v>
      </c>
      <c r="H38" s="1">
        <f>'Game Lines'!H43</f>
        <v>0</v>
      </c>
      <c r="I38" s="1">
        <f>'Game Lines'!I43</f>
        <v>0</v>
      </c>
      <c r="J38" s="5">
        <f>'Game Lines'!J43</f>
        <v>0</v>
      </c>
      <c r="K38" s="1" t="e">
        <f t="array" ref="K38">_xlfn.XLOOKUP(DATEVALUE(A38),'Week Lookup Table'!A:A,'Week Lookup Table'!B:B)</f>
        <v>#VALUE!</v>
      </c>
      <c r="L38" s="1">
        <f>'Game Lines'!L43</f>
        <v>0</v>
      </c>
    </row>
    <row r="39" spans="1:12" ht="15.75" customHeight="1" x14ac:dyDescent="0.15">
      <c r="A39" s="5">
        <f>'Game Lines'!A44</f>
        <v>0</v>
      </c>
      <c r="B39" s="1">
        <f>'Game Lines'!B44</f>
        <v>0</v>
      </c>
      <c r="C39" s="1">
        <f>'Game Lines'!C44</f>
        <v>0</v>
      </c>
      <c r="D39" s="1">
        <f>'Game Lines'!D44</f>
        <v>0</v>
      </c>
      <c r="E39" s="1">
        <f>'Game Lines'!E44</f>
        <v>0</v>
      </c>
      <c r="F39" s="1">
        <f>'Game Lines'!F44</f>
        <v>0</v>
      </c>
      <c r="G39" s="1">
        <f>'Game Lines'!G44</f>
        <v>0</v>
      </c>
      <c r="H39" s="1">
        <f>'Game Lines'!H44</f>
        <v>0</v>
      </c>
      <c r="I39" s="1">
        <f>'Game Lines'!I44</f>
        <v>0</v>
      </c>
      <c r="J39" s="5">
        <f>'Game Lines'!J44</f>
        <v>0</v>
      </c>
      <c r="K39" s="1" t="e">
        <f t="array" ref="K39">_xlfn.XLOOKUP(DATEVALUE(A39),'Week Lookup Table'!A:A,'Week Lookup Table'!B:B)</f>
        <v>#VALUE!</v>
      </c>
      <c r="L39" s="1">
        <f>'Game Lines'!L44</f>
        <v>0</v>
      </c>
    </row>
    <row r="40" spans="1:12" ht="15.75" customHeight="1" x14ac:dyDescent="0.15">
      <c r="A40" s="5">
        <f>'Game Lines'!A45</f>
        <v>0</v>
      </c>
      <c r="B40" s="1">
        <f>'Game Lines'!B45</f>
        <v>0</v>
      </c>
      <c r="C40" s="1">
        <f>'Game Lines'!C45</f>
        <v>0</v>
      </c>
      <c r="D40" s="1">
        <f>'Game Lines'!D45</f>
        <v>0</v>
      </c>
      <c r="E40" s="1">
        <f>'Game Lines'!E45</f>
        <v>0</v>
      </c>
      <c r="F40" s="1">
        <f>'Game Lines'!F45</f>
        <v>0</v>
      </c>
      <c r="G40" s="1">
        <f>'Game Lines'!G45</f>
        <v>0</v>
      </c>
      <c r="H40" s="1">
        <f>'Game Lines'!H45</f>
        <v>0</v>
      </c>
      <c r="I40" s="1">
        <f>'Game Lines'!I45</f>
        <v>0</v>
      </c>
      <c r="J40" s="5">
        <f>'Game Lines'!J45</f>
        <v>0</v>
      </c>
      <c r="K40" s="1" t="e">
        <f t="array" ref="K40">_xlfn.XLOOKUP(DATEVALUE(A40),'Week Lookup Table'!A:A,'Week Lookup Table'!B:B)</f>
        <v>#VALUE!</v>
      </c>
      <c r="L40" s="1">
        <f>'Game Lines'!L45</f>
        <v>0</v>
      </c>
    </row>
    <row r="41" spans="1:12" ht="15.75" customHeight="1" x14ac:dyDescent="0.15">
      <c r="A41" s="5">
        <f>'Game Lines'!A46</f>
        <v>0</v>
      </c>
      <c r="B41" s="1">
        <f>'Game Lines'!B46</f>
        <v>0</v>
      </c>
      <c r="C41" s="1">
        <f>'Game Lines'!C46</f>
        <v>0</v>
      </c>
      <c r="D41" s="1">
        <f>'Game Lines'!D46</f>
        <v>0</v>
      </c>
      <c r="E41" s="1">
        <f>'Game Lines'!E46</f>
        <v>0</v>
      </c>
      <c r="F41" s="1">
        <f>'Game Lines'!F46</f>
        <v>0</v>
      </c>
      <c r="G41" s="1">
        <f>'Game Lines'!G46</f>
        <v>0</v>
      </c>
      <c r="H41" s="1">
        <f>'Game Lines'!H46</f>
        <v>0</v>
      </c>
      <c r="I41" s="1">
        <f>'Game Lines'!I46</f>
        <v>0</v>
      </c>
      <c r="J41" s="5">
        <f>'Game Lines'!J46</f>
        <v>0</v>
      </c>
      <c r="K41" s="1" t="e">
        <f t="array" ref="K41">_xlfn.XLOOKUP(DATEVALUE(A41),'Week Lookup Table'!A:A,'Week Lookup Table'!B:B)</f>
        <v>#VALUE!</v>
      </c>
      <c r="L41" s="1">
        <f>'Game Lines'!L46</f>
        <v>0</v>
      </c>
    </row>
    <row r="42" spans="1:12" ht="15.75" customHeight="1" x14ac:dyDescent="0.15">
      <c r="A42" s="5">
        <f>'Game Lines'!A47</f>
        <v>0</v>
      </c>
      <c r="B42" s="1">
        <f>'Game Lines'!B47</f>
        <v>0</v>
      </c>
      <c r="C42" s="1">
        <f>'Game Lines'!C47</f>
        <v>0</v>
      </c>
      <c r="D42" s="1">
        <f>'Game Lines'!D47</f>
        <v>0</v>
      </c>
      <c r="E42" s="1">
        <f>'Game Lines'!E47</f>
        <v>0</v>
      </c>
      <c r="F42" s="1">
        <f>'Game Lines'!F47</f>
        <v>0</v>
      </c>
      <c r="G42" s="1">
        <f>'Game Lines'!G47</f>
        <v>0</v>
      </c>
      <c r="H42" s="1">
        <f>'Game Lines'!H47</f>
        <v>0</v>
      </c>
      <c r="I42" s="1">
        <f>'Game Lines'!I47</f>
        <v>0</v>
      </c>
      <c r="J42" s="5">
        <f>'Game Lines'!J47</f>
        <v>0</v>
      </c>
      <c r="K42" s="1" t="e">
        <f t="array" ref="K42">_xlfn.XLOOKUP(DATEVALUE(A42),'Week Lookup Table'!A:A,'Week Lookup Table'!B:B)</f>
        <v>#VALUE!</v>
      </c>
      <c r="L42" s="1">
        <f>'Game Lines'!L47</f>
        <v>0</v>
      </c>
    </row>
    <row r="43" spans="1:12" ht="15.75" customHeight="1" x14ac:dyDescent="0.15">
      <c r="A43" s="5">
        <f>'Game Lines'!A48</f>
        <v>0</v>
      </c>
      <c r="B43" s="1">
        <f>'Game Lines'!B48</f>
        <v>0</v>
      </c>
      <c r="C43" s="1">
        <f>'Game Lines'!C48</f>
        <v>0</v>
      </c>
      <c r="D43" s="1">
        <f>'Game Lines'!D48</f>
        <v>0</v>
      </c>
      <c r="E43" s="1">
        <f>'Game Lines'!E48</f>
        <v>0</v>
      </c>
      <c r="F43" s="1">
        <f>'Game Lines'!F48</f>
        <v>0</v>
      </c>
      <c r="G43" s="1">
        <f>'Game Lines'!G48</f>
        <v>0</v>
      </c>
      <c r="H43" s="1">
        <f>'Game Lines'!H48</f>
        <v>0</v>
      </c>
      <c r="I43" s="1">
        <f>'Game Lines'!I48</f>
        <v>0</v>
      </c>
      <c r="J43" s="5">
        <f>'Game Lines'!J48</f>
        <v>0</v>
      </c>
      <c r="K43" s="1" t="e">
        <f t="array" ref="K43">_xlfn.XLOOKUP(DATEVALUE(A43),'Week Lookup Table'!A:A,'Week Lookup Table'!B:B)</f>
        <v>#VALUE!</v>
      </c>
      <c r="L43" s="1">
        <f>'Game Lines'!L48</f>
        <v>0</v>
      </c>
    </row>
    <row r="44" spans="1:12" ht="15.75" customHeight="1" x14ac:dyDescent="0.15">
      <c r="A44" s="5">
        <f>'Game Lines'!A49</f>
        <v>0</v>
      </c>
      <c r="B44" s="1">
        <f>'Game Lines'!B49</f>
        <v>0</v>
      </c>
      <c r="C44" s="1">
        <f>'Game Lines'!C49</f>
        <v>0</v>
      </c>
      <c r="D44" s="1">
        <f>'Game Lines'!D49</f>
        <v>0</v>
      </c>
      <c r="E44" s="1">
        <f>'Game Lines'!E49</f>
        <v>0</v>
      </c>
      <c r="F44" s="1">
        <f>'Game Lines'!F49</f>
        <v>0</v>
      </c>
      <c r="G44" s="1">
        <f>'Game Lines'!G49</f>
        <v>0</v>
      </c>
      <c r="H44" s="1">
        <f>'Game Lines'!H49</f>
        <v>0</v>
      </c>
      <c r="I44" s="1">
        <f>'Game Lines'!I49</f>
        <v>0</v>
      </c>
      <c r="J44" s="5">
        <f>'Game Lines'!J49</f>
        <v>0</v>
      </c>
      <c r="K44" s="1" t="e">
        <f t="array" ref="K44">_xlfn.XLOOKUP(DATEVALUE(A44),'Week Lookup Table'!A:A,'Week Lookup Table'!B:B)</f>
        <v>#VALUE!</v>
      </c>
      <c r="L44" s="1">
        <f>'Game Lines'!L49</f>
        <v>0</v>
      </c>
    </row>
    <row r="45" spans="1:12" ht="15.75" customHeight="1" x14ac:dyDescent="0.15">
      <c r="A45" s="5">
        <f>'Game Lines'!A50</f>
        <v>0</v>
      </c>
      <c r="B45" s="1">
        <f>'Game Lines'!B50</f>
        <v>0</v>
      </c>
      <c r="C45" s="1">
        <f>'Game Lines'!C50</f>
        <v>0</v>
      </c>
      <c r="D45" s="1">
        <f>'Game Lines'!D50</f>
        <v>0</v>
      </c>
      <c r="E45" s="1">
        <f>'Game Lines'!E50</f>
        <v>0</v>
      </c>
      <c r="F45" s="1">
        <f>'Game Lines'!F50</f>
        <v>0</v>
      </c>
      <c r="G45" s="1">
        <f>'Game Lines'!G50</f>
        <v>0</v>
      </c>
      <c r="H45" s="1">
        <f>'Game Lines'!H50</f>
        <v>0</v>
      </c>
      <c r="I45" s="1">
        <f>'Game Lines'!I50</f>
        <v>0</v>
      </c>
      <c r="J45" s="5">
        <f>'Game Lines'!J50</f>
        <v>0</v>
      </c>
      <c r="K45" s="1" t="e">
        <f t="array" ref="K45">_xlfn.XLOOKUP(DATEVALUE(A45),'Week Lookup Table'!A:A,'Week Lookup Table'!B:B)</f>
        <v>#VALUE!</v>
      </c>
      <c r="L45" s="1">
        <f>'Game Lines'!L50</f>
        <v>0</v>
      </c>
    </row>
    <row r="46" spans="1:12" ht="15.75" customHeight="1" x14ac:dyDescent="0.15">
      <c r="A46" s="5">
        <f>'Game Lines'!A51</f>
        <v>0</v>
      </c>
      <c r="B46" s="1">
        <f>'Game Lines'!B51</f>
        <v>0</v>
      </c>
      <c r="C46" s="1">
        <f>'Game Lines'!C51</f>
        <v>0</v>
      </c>
      <c r="D46" s="1">
        <f>'Game Lines'!D51</f>
        <v>0</v>
      </c>
      <c r="E46" s="1">
        <f>'Game Lines'!E51</f>
        <v>0</v>
      </c>
      <c r="F46" s="1">
        <f>'Game Lines'!F51</f>
        <v>0</v>
      </c>
      <c r="G46" s="1">
        <f>'Game Lines'!G51</f>
        <v>0</v>
      </c>
      <c r="H46" s="1">
        <f>'Game Lines'!H51</f>
        <v>0</v>
      </c>
      <c r="I46" s="1">
        <f>'Game Lines'!I51</f>
        <v>0</v>
      </c>
      <c r="J46" s="5">
        <f>'Game Lines'!J51</f>
        <v>0</v>
      </c>
      <c r="K46" s="1" t="e">
        <f t="array" ref="K46">_xlfn.XLOOKUP(DATEVALUE(A46),'Week Lookup Table'!A:A,'Week Lookup Table'!B:B)</f>
        <v>#VALUE!</v>
      </c>
      <c r="L46" s="1">
        <f>'Game Lines'!L51</f>
        <v>0</v>
      </c>
    </row>
    <row r="47" spans="1:12" ht="15.75" customHeight="1" x14ac:dyDescent="0.15">
      <c r="A47" s="5">
        <f>'Game Lines'!A52</f>
        <v>0</v>
      </c>
      <c r="B47" s="1">
        <f>'Game Lines'!B52</f>
        <v>0</v>
      </c>
      <c r="C47" s="1">
        <f>'Game Lines'!C52</f>
        <v>0</v>
      </c>
      <c r="D47" s="1">
        <f>'Game Lines'!D52</f>
        <v>0</v>
      </c>
      <c r="E47" s="1">
        <f>'Game Lines'!E52</f>
        <v>0</v>
      </c>
      <c r="F47" s="1">
        <f>'Game Lines'!F52</f>
        <v>0</v>
      </c>
      <c r="G47" s="1">
        <f>'Game Lines'!G52</f>
        <v>0</v>
      </c>
      <c r="H47" s="1">
        <f>'Game Lines'!H52</f>
        <v>0</v>
      </c>
      <c r="I47" s="1">
        <f>'Game Lines'!I52</f>
        <v>0</v>
      </c>
      <c r="J47" s="5">
        <f>'Game Lines'!J52</f>
        <v>0</v>
      </c>
      <c r="K47" s="1" t="e">
        <f t="array" ref="K47">_xlfn.XLOOKUP(DATEVALUE(A47),'Week Lookup Table'!A:A,'Week Lookup Table'!B:B)</f>
        <v>#VALUE!</v>
      </c>
      <c r="L47" s="1">
        <f>'Game Lines'!L52</f>
        <v>0</v>
      </c>
    </row>
    <row r="48" spans="1:12" ht="15.75" customHeight="1" x14ac:dyDescent="0.15">
      <c r="A48" s="5">
        <f>'Game Lines'!A53</f>
        <v>0</v>
      </c>
      <c r="B48" s="1">
        <f>'Game Lines'!B53</f>
        <v>0</v>
      </c>
      <c r="C48" s="1">
        <f>'Game Lines'!C53</f>
        <v>0</v>
      </c>
      <c r="D48" s="1">
        <f>'Game Lines'!D53</f>
        <v>0</v>
      </c>
      <c r="E48" s="1">
        <f>'Game Lines'!E53</f>
        <v>0</v>
      </c>
      <c r="F48" s="1">
        <f>'Game Lines'!F53</f>
        <v>0</v>
      </c>
      <c r="G48" s="1">
        <f>'Game Lines'!G53</f>
        <v>0</v>
      </c>
      <c r="H48" s="1">
        <f>'Game Lines'!H53</f>
        <v>0</v>
      </c>
      <c r="I48" s="1">
        <f>'Game Lines'!I53</f>
        <v>0</v>
      </c>
      <c r="J48" s="5">
        <f>'Game Lines'!J53</f>
        <v>0</v>
      </c>
      <c r="K48" s="1" t="e">
        <f t="array" ref="K48">_xlfn.XLOOKUP(DATEVALUE(A48),'Week Lookup Table'!A:A,'Week Lookup Table'!B:B)</f>
        <v>#VALUE!</v>
      </c>
      <c r="L48" s="1">
        <f>'Game Lines'!L53</f>
        <v>0</v>
      </c>
    </row>
    <row r="49" spans="1:12" ht="15.75" customHeight="1" x14ac:dyDescent="0.15">
      <c r="A49" s="5">
        <f>'Game Lines'!A54</f>
        <v>0</v>
      </c>
      <c r="B49" s="1">
        <f>'Game Lines'!B54</f>
        <v>0</v>
      </c>
      <c r="C49" s="1">
        <f>'Game Lines'!C54</f>
        <v>0</v>
      </c>
      <c r="D49" s="1">
        <f>'Game Lines'!D54</f>
        <v>0</v>
      </c>
      <c r="E49" s="1">
        <f>'Game Lines'!E54</f>
        <v>0</v>
      </c>
      <c r="F49" s="1">
        <f>'Game Lines'!F54</f>
        <v>0</v>
      </c>
      <c r="G49" s="1">
        <f>'Game Lines'!G54</f>
        <v>0</v>
      </c>
      <c r="H49" s="1">
        <f>'Game Lines'!H54</f>
        <v>0</v>
      </c>
      <c r="I49" s="1">
        <f>'Game Lines'!I54</f>
        <v>0</v>
      </c>
      <c r="J49" s="5">
        <f>'Game Lines'!J54</f>
        <v>0</v>
      </c>
      <c r="K49" s="1" t="e">
        <f t="array" ref="K49">_xlfn.XLOOKUP(DATEVALUE(A49),'Week Lookup Table'!A:A,'Week Lookup Table'!B:B)</f>
        <v>#VALUE!</v>
      </c>
      <c r="L49" s="1">
        <f>'Game Lines'!L54</f>
        <v>0</v>
      </c>
    </row>
    <row r="50" spans="1:12" ht="15.75" customHeight="1" x14ac:dyDescent="0.15">
      <c r="A50" s="5">
        <f>'Game Lines'!A55</f>
        <v>0</v>
      </c>
      <c r="B50" s="1">
        <f>'Game Lines'!B55</f>
        <v>0</v>
      </c>
      <c r="C50" s="1">
        <f>'Game Lines'!C55</f>
        <v>0</v>
      </c>
      <c r="D50" s="1">
        <f>'Game Lines'!D55</f>
        <v>0</v>
      </c>
      <c r="E50" s="1">
        <f>'Game Lines'!E55</f>
        <v>0</v>
      </c>
      <c r="F50" s="1">
        <f>'Game Lines'!F55</f>
        <v>0</v>
      </c>
      <c r="G50" s="1">
        <f>'Game Lines'!G55</f>
        <v>0</v>
      </c>
      <c r="H50" s="1">
        <f>'Game Lines'!H55</f>
        <v>0</v>
      </c>
      <c r="I50" s="1">
        <f>'Game Lines'!I55</f>
        <v>0</v>
      </c>
      <c r="J50" s="5">
        <f>'Game Lines'!J55</f>
        <v>0</v>
      </c>
      <c r="K50" s="1" t="e">
        <f t="array" ref="K50">_xlfn.XLOOKUP(DATEVALUE(A50),'Week Lookup Table'!A:A,'Week Lookup Table'!B:B)</f>
        <v>#VALUE!</v>
      </c>
      <c r="L50" s="1">
        <f>'Game Lines'!L55</f>
        <v>0</v>
      </c>
    </row>
    <row r="51" spans="1:12" ht="15.75" customHeight="1" x14ac:dyDescent="0.15">
      <c r="A51" s="5">
        <f>'Game Lines'!A56</f>
        <v>0</v>
      </c>
      <c r="B51" s="1">
        <f>'Game Lines'!B56</f>
        <v>0</v>
      </c>
      <c r="C51" s="1">
        <f>'Game Lines'!C56</f>
        <v>0</v>
      </c>
      <c r="D51" s="1">
        <f>'Game Lines'!D56</f>
        <v>0</v>
      </c>
      <c r="E51" s="1">
        <f>'Game Lines'!E56</f>
        <v>0</v>
      </c>
      <c r="F51" s="1">
        <f>'Game Lines'!F56</f>
        <v>0</v>
      </c>
      <c r="G51" s="1">
        <f>'Game Lines'!G56</f>
        <v>0</v>
      </c>
      <c r="H51" s="1">
        <f>'Game Lines'!H56</f>
        <v>0</v>
      </c>
      <c r="I51" s="1">
        <f>'Game Lines'!I56</f>
        <v>0</v>
      </c>
      <c r="J51" s="5">
        <f>'Game Lines'!J56</f>
        <v>0</v>
      </c>
      <c r="K51" s="1" t="e">
        <f t="array" ref="K51">_xlfn.XLOOKUP(DATEVALUE(A51),'Week Lookup Table'!A:A,'Week Lookup Table'!B:B)</f>
        <v>#VALUE!</v>
      </c>
      <c r="L51" s="1">
        <f>'Game Lines'!L56</f>
        <v>0</v>
      </c>
    </row>
    <row r="52" spans="1:12" ht="13" x14ac:dyDescent="0.15">
      <c r="A52" s="5">
        <f>'Game Lines'!A57</f>
        <v>0</v>
      </c>
      <c r="B52" s="1">
        <f>'Game Lines'!B57</f>
        <v>0</v>
      </c>
      <c r="C52" s="1">
        <f>'Game Lines'!C57</f>
        <v>0</v>
      </c>
      <c r="D52" s="1">
        <f>'Game Lines'!D57</f>
        <v>0</v>
      </c>
      <c r="E52" s="1">
        <f>'Game Lines'!E57</f>
        <v>0</v>
      </c>
      <c r="F52" s="1">
        <f>'Game Lines'!F57</f>
        <v>0</v>
      </c>
      <c r="G52" s="1">
        <f>'Game Lines'!G57</f>
        <v>0</v>
      </c>
      <c r="H52" s="1">
        <f>'Game Lines'!H57</f>
        <v>0</v>
      </c>
      <c r="I52" s="1">
        <f>'Game Lines'!I57</f>
        <v>0</v>
      </c>
      <c r="J52" s="5">
        <f>'Game Lines'!J57</f>
        <v>0</v>
      </c>
      <c r="K52" s="1" t="e">
        <f t="array" ref="K52">_xlfn.XLOOKUP(DATEVALUE(A52),'Week Lookup Table'!A:A,'Week Lookup Table'!B:B)</f>
        <v>#VALUE!</v>
      </c>
      <c r="L52" s="1">
        <f>'Game Lines'!L57</f>
        <v>0</v>
      </c>
    </row>
    <row r="53" spans="1:12" ht="13" x14ac:dyDescent="0.15">
      <c r="A53" s="5">
        <f>'Game Lines'!A58</f>
        <v>0</v>
      </c>
      <c r="B53" s="1">
        <f>'Game Lines'!B58</f>
        <v>0</v>
      </c>
      <c r="C53" s="1">
        <f>'Game Lines'!C58</f>
        <v>0</v>
      </c>
      <c r="D53" s="1">
        <f>'Game Lines'!D58</f>
        <v>0</v>
      </c>
      <c r="E53" s="1">
        <f>'Game Lines'!E58</f>
        <v>0</v>
      </c>
      <c r="F53" s="1">
        <f>'Game Lines'!F58</f>
        <v>0</v>
      </c>
      <c r="G53" s="1">
        <f>'Game Lines'!G58</f>
        <v>0</v>
      </c>
      <c r="H53" s="1">
        <f>'Game Lines'!H58</f>
        <v>0</v>
      </c>
      <c r="I53" s="1">
        <f>'Game Lines'!I58</f>
        <v>0</v>
      </c>
      <c r="J53" s="5">
        <f>'Game Lines'!J58</f>
        <v>0</v>
      </c>
      <c r="K53" s="1" t="e">
        <f t="array" ref="K53">_xlfn.XLOOKUP(DATEVALUE(A53),'Week Lookup Table'!A:A,'Week Lookup Table'!B:B)</f>
        <v>#VALUE!</v>
      </c>
      <c r="L53" s="1">
        <f>'Game Lines'!L58</f>
        <v>0</v>
      </c>
    </row>
    <row r="54" spans="1:12" ht="13" x14ac:dyDescent="0.15">
      <c r="A54" s="5">
        <f>'Game Lines'!A59</f>
        <v>0</v>
      </c>
      <c r="B54" s="1">
        <f>'Game Lines'!B59</f>
        <v>0</v>
      </c>
      <c r="C54" s="1">
        <f>'Game Lines'!C59</f>
        <v>0</v>
      </c>
      <c r="D54" s="1">
        <f>'Game Lines'!D59</f>
        <v>0</v>
      </c>
      <c r="E54" s="1">
        <f>'Game Lines'!E59</f>
        <v>0</v>
      </c>
      <c r="F54" s="1">
        <f>'Game Lines'!F59</f>
        <v>0</v>
      </c>
      <c r="G54" s="1">
        <f>'Game Lines'!G59</f>
        <v>0</v>
      </c>
      <c r="H54" s="1">
        <f>'Game Lines'!H59</f>
        <v>0</v>
      </c>
      <c r="I54" s="1">
        <f>'Game Lines'!I59</f>
        <v>0</v>
      </c>
      <c r="J54" s="5">
        <f>'Game Lines'!J59</f>
        <v>0</v>
      </c>
      <c r="K54" s="1" t="e">
        <f t="array" ref="K54">_xlfn.XLOOKUP(DATEVALUE(A54),'Week Lookup Table'!A:A,'Week Lookup Table'!B:B)</f>
        <v>#VALUE!</v>
      </c>
      <c r="L54" s="1">
        <f>'Game Lines'!L59</f>
        <v>0</v>
      </c>
    </row>
    <row r="55" spans="1:12" ht="13" x14ac:dyDescent="0.15">
      <c r="A55" s="5">
        <f>'Game Lines'!A60</f>
        <v>0</v>
      </c>
      <c r="B55" s="1">
        <f>'Game Lines'!B60</f>
        <v>0</v>
      </c>
      <c r="C55" s="1">
        <f>'Game Lines'!C60</f>
        <v>0</v>
      </c>
      <c r="D55" s="1">
        <f>'Game Lines'!D60</f>
        <v>0</v>
      </c>
      <c r="E55" s="1">
        <f>'Game Lines'!E60</f>
        <v>0</v>
      </c>
      <c r="F55" s="1">
        <f>'Game Lines'!F60</f>
        <v>0</v>
      </c>
      <c r="G55" s="1">
        <f>'Game Lines'!G60</f>
        <v>0</v>
      </c>
      <c r="H55" s="1">
        <f>'Game Lines'!H60</f>
        <v>0</v>
      </c>
      <c r="I55" s="1">
        <f>'Game Lines'!I60</f>
        <v>0</v>
      </c>
      <c r="J55" s="5">
        <f>'Game Lines'!J60</f>
        <v>0</v>
      </c>
      <c r="K55" s="1" t="e">
        <f t="array" ref="K55">_xlfn.XLOOKUP(DATEVALUE(A55),'Week Lookup Table'!A:A,'Week Lookup Table'!B:B)</f>
        <v>#VALUE!</v>
      </c>
      <c r="L55" s="1">
        <f>'Game Lines'!L60</f>
        <v>0</v>
      </c>
    </row>
    <row r="56" spans="1:12" ht="13" x14ac:dyDescent="0.15">
      <c r="A56" s="5">
        <f>'Game Lines'!A61</f>
        <v>0</v>
      </c>
      <c r="B56" s="1">
        <f>'Game Lines'!B61</f>
        <v>0</v>
      </c>
      <c r="C56" s="1">
        <f>'Game Lines'!C61</f>
        <v>0</v>
      </c>
      <c r="D56" s="1">
        <f>'Game Lines'!D61</f>
        <v>0</v>
      </c>
      <c r="E56" s="1">
        <f>'Game Lines'!E61</f>
        <v>0</v>
      </c>
      <c r="F56" s="1">
        <f>'Game Lines'!F61</f>
        <v>0</v>
      </c>
      <c r="G56" s="1">
        <f>'Game Lines'!G61</f>
        <v>0</v>
      </c>
      <c r="H56" s="1">
        <f>'Game Lines'!H61</f>
        <v>0</v>
      </c>
      <c r="I56" s="1">
        <f>'Game Lines'!I61</f>
        <v>0</v>
      </c>
      <c r="J56" s="5">
        <f>'Game Lines'!J61</f>
        <v>0</v>
      </c>
      <c r="K56" s="1" t="e">
        <f t="array" ref="K56">_xlfn.XLOOKUP(DATEVALUE(A56),'Week Lookup Table'!A:A,'Week Lookup Table'!B:B)</f>
        <v>#VALUE!</v>
      </c>
      <c r="L56" s="1">
        <f>'Game Lines'!L61</f>
        <v>0</v>
      </c>
    </row>
    <row r="57" spans="1:12" ht="13" x14ac:dyDescent="0.15">
      <c r="A57" s="5">
        <f>'Game Lines'!A62</f>
        <v>0</v>
      </c>
      <c r="B57" s="1">
        <f>'Game Lines'!B62</f>
        <v>0</v>
      </c>
      <c r="C57" s="1">
        <f>'Game Lines'!C62</f>
        <v>0</v>
      </c>
      <c r="D57" s="1">
        <f>'Game Lines'!D62</f>
        <v>0</v>
      </c>
      <c r="E57" s="1">
        <f>'Game Lines'!E62</f>
        <v>0</v>
      </c>
      <c r="F57" s="1">
        <f>'Game Lines'!F62</f>
        <v>0</v>
      </c>
      <c r="G57" s="1">
        <f>'Game Lines'!G62</f>
        <v>0</v>
      </c>
      <c r="H57" s="1">
        <f>'Game Lines'!H62</f>
        <v>0</v>
      </c>
      <c r="I57" s="1">
        <f>'Game Lines'!I62</f>
        <v>0</v>
      </c>
      <c r="J57" s="5">
        <f>'Game Lines'!J62</f>
        <v>0</v>
      </c>
      <c r="K57" s="1" t="e">
        <f t="array" ref="K57">_xlfn.XLOOKUP(DATEVALUE(A57),'Week Lookup Table'!A:A,'Week Lookup Table'!B:B)</f>
        <v>#VALUE!</v>
      </c>
      <c r="L57" s="1">
        <f>'Game Lines'!L62</f>
        <v>0</v>
      </c>
    </row>
    <row r="58" spans="1:12" ht="13" x14ac:dyDescent="0.15">
      <c r="A58" s="5">
        <f>'Game Lines'!A63</f>
        <v>0</v>
      </c>
      <c r="B58" s="1">
        <f>'Game Lines'!B63</f>
        <v>0</v>
      </c>
      <c r="C58" s="1">
        <f>'Game Lines'!C63</f>
        <v>0</v>
      </c>
      <c r="D58" s="1">
        <f>'Game Lines'!D63</f>
        <v>0</v>
      </c>
      <c r="E58" s="1">
        <f>'Game Lines'!E63</f>
        <v>0</v>
      </c>
      <c r="F58" s="1">
        <f>'Game Lines'!F63</f>
        <v>0</v>
      </c>
      <c r="G58" s="1">
        <f>'Game Lines'!G63</f>
        <v>0</v>
      </c>
      <c r="H58" s="1">
        <f>'Game Lines'!H63</f>
        <v>0</v>
      </c>
      <c r="I58" s="1">
        <f>'Game Lines'!I63</f>
        <v>0</v>
      </c>
      <c r="J58" s="5">
        <f>'Game Lines'!J63</f>
        <v>0</v>
      </c>
      <c r="K58" s="1" t="e">
        <f t="array" ref="K58">_xlfn.XLOOKUP(DATEVALUE(A58),'Week Lookup Table'!A:A,'Week Lookup Table'!B:B)</f>
        <v>#VALUE!</v>
      </c>
      <c r="L58" s="1">
        <f>'Game Lines'!L63</f>
        <v>0</v>
      </c>
    </row>
    <row r="59" spans="1:12" ht="13" x14ac:dyDescent="0.15">
      <c r="A59" s="5">
        <f>'Game Lines'!A64</f>
        <v>0</v>
      </c>
      <c r="B59" s="1">
        <f>'Game Lines'!B64</f>
        <v>0</v>
      </c>
      <c r="C59" s="1">
        <f>'Game Lines'!C64</f>
        <v>0</v>
      </c>
      <c r="D59" s="1">
        <f>'Game Lines'!D64</f>
        <v>0</v>
      </c>
      <c r="E59" s="1">
        <f>'Game Lines'!E64</f>
        <v>0</v>
      </c>
      <c r="F59" s="1">
        <f>'Game Lines'!F64</f>
        <v>0</v>
      </c>
      <c r="G59" s="1">
        <f>'Game Lines'!G64</f>
        <v>0</v>
      </c>
      <c r="H59" s="1">
        <f>'Game Lines'!H64</f>
        <v>0</v>
      </c>
      <c r="I59" s="1">
        <f>'Game Lines'!I64</f>
        <v>0</v>
      </c>
      <c r="J59" s="5">
        <f>'Game Lines'!J64</f>
        <v>0</v>
      </c>
      <c r="K59" s="1" t="e">
        <f t="array" ref="K59">_xlfn.XLOOKUP(DATEVALUE(A59),'Week Lookup Table'!A:A,'Week Lookup Table'!B:B)</f>
        <v>#VALUE!</v>
      </c>
      <c r="L59" s="1">
        <f>'Game Lines'!L64</f>
        <v>0</v>
      </c>
    </row>
    <row r="60" spans="1:12" ht="13" x14ac:dyDescent="0.15">
      <c r="A60" s="5">
        <f>'Game Lines'!A65</f>
        <v>0</v>
      </c>
      <c r="B60" s="1">
        <f>'Game Lines'!B65</f>
        <v>0</v>
      </c>
      <c r="C60" s="1">
        <f>'Game Lines'!C65</f>
        <v>0</v>
      </c>
      <c r="D60" s="1">
        <f>'Game Lines'!D65</f>
        <v>0</v>
      </c>
      <c r="E60" s="1">
        <f>'Game Lines'!E65</f>
        <v>0</v>
      </c>
      <c r="F60" s="1">
        <f>'Game Lines'!F65</f>
        <v>0</v>
      </c>
      <c r="G60" s="1">
        <f>'Game Lines'!G65</f>
        <v>0</v>
      </c>
      <c r="H60" s="1">
        <f>'Game Lines'!H65</f>
        <v>0</v>
      </c>
      <c r="I60" s="1">
        <f>'Game Lines'!I65</f>
        <v>0</v>
      </c>
      <c r="J60" s="5">
        <f>'Game Lines'!J65</f>
        <v>0</v>
      </c>
      <c r="K60" s="1" t="e">
        <f t="array" ref="K60">_xlfn.XLOOKUP(DATEVALUE(A60),'Week Lookup Table'!A:A,'Week Lookup Table'!B:B)</f>
        <v>#VALUE!</v>
      </c>
      <c r="L60" s="1">
        <f>'Game Lines'!L65</f>
        <v>0</v>
      </c>
    </row>
    <row r="61" spans="1:12" ht="13" x14ac:dyDescent="0.15">
      <c r="A61" s="5">
        <f>'Game Lines'!A66</f>
        <v>0</v>
      </c>
      <c r="B61" s="1">
        <f>'Game Lines'!B66</f>
        <v>0</v>
      </c>
      <c r="C61" s="1">
        <f>'Game Lines'!C66</f>
        <v>0</v>
      </c>
      <c r="D61" s="1">
        <f>'Game Lines'!D66</f>
        <v>0</v>
      </c>
      <c r="E61" s="1">
        <f>'Game Lines'!E66</f>
        <v>0</v>
      </c>
      <c r="F61" s="1">
        <f>'Game Lines'!F66</f>
        <v>0</v>
      </c>
      <c r="G61" s="1">
        <f>'Game Lines'!G66</f>
        <v>0</v>
      </c>
      <c r="H61" s="1">
        <f>'Game Lines'!H66</f>
        <v>0</v>
      </c>
      <c r="I61" s="1">
        <f>'Game Lines'!I66</f>
        <v>0</v>
      </c>
      <c r="J61" s="5">
        <f>'Game Lines'!J66</f>
        <v>0</v>
      </c>
      <c r="K61" s="1" t="e">
        <f t="array" ref="K61">_xlfn.XLOOKUP(DATEVALUE(A61),'Week Lookup Table'!A:A,'Week Lookup Table'!B:B)</f>
        <v>#VALUE!</v>
      </c>
      <c r="L61" s="1">
        <f>'Game Lines'!L66</f>
        <v>0</v>
      </c>
    </row>
    <row r="62" spans="1:12" ht="13" x14ac:dyDescent="0.15">
      <c r="A62" s="5">
        <f>'Game Lines'!A67</f>
        <v>0</v>
      </c>
      <c r="B62" s="1">
        <f>'Game Lines'!B67</f>
        <v>0</v>
      </c>
      <c r="C62" s="1">
        <f>'Game Lines'!C67</f>
        <v>0</v>
      </c>
      <c r="D62" s="1">
        <f>'Game Lines'!D67</f>
        <v>0</v>
      </c>
      <c r="E62" s="1">
        <f>'Game Lines'!E67</f>
        <v>0</v>
      </c>
      <c r="F62" s="1">
        <f>'Game Lines'!F67</f>
        <v>0</v>
      </c>
      <c r="G62" s="1">
        <f>'Game Lines'!G67</f>
        <v>0</v>
      </c>
      <c r="H62" s="1">
        <f>'Game Lines'!H67</f>
        <v>0</v>
      </c>
      <c r="I62" s="1">
        <f>'Game Lines'!I67</f>
        <v>0</v>
      </c>
      <c r="J62" s="5">
        <f>'Game Lines'!J67</f>
        <v>0</v>
      </c>
      <c r="K62" s="1" t="e">
        <f t="array" ref="K62">_xlfn.XLOOKUP(DATEVALUE(A62),'Week Lookup Table'!A:A,'Week Lookup Table'!B:B)</f>
        <v>#VALUE!</v>
      </c>
      <c r="L62" s="1">
        <f>'Game Lines'!L67</f>
        <v>0</v>
      </c>
    </row>
    <row r="63" spans="1:12" ht="13" x14ac:dyDescent="0.15">
      <c r="A63" s="5">
        <f>'Game Lines'!A68</f>
        <v>0</v>
      </c>
      <c r="B63" s="1">
        <f>'Game Lines'!B68</f>
        <v>0</v>
      </c>
      <c r="C63" s="1">
        <f>'Game Lines'!C68</f>
        <v>0</v>
      </c>
      <c r="D63" s="1">
        <f>'Game Lines'!D68</f>
        <v>0</v>
      </c>
      <c r="E63" s="1">
        <f>'Game Lines'!E68</f>
        <v>0</v>
      </c>
      <c r="F63" s="1">
        <f>'Game Lines'!F68</f>
        <v>0</v>
      </c>
      <c r="G63" s="1">
        <f>'Game Lines'!G68</f>
        <v>0</v>
      </c>
      <c r="H63" s="1">
        <f>'Game Lines'!H68</f>
        <v>0</v>
      </c>
      <c r="I63" s="1">
        <f>'Game Lines'!I68</f>
        <v>0</v>
      </c>
      <c r="J63" s="5">
        <f>'Game Lines'!J68</f>
        <v>0</v>
      </c>
      <c r="K63" s="1" t="e">
        <f t="array" ref="K63">_xlfn.XLOOKUP(DATEVALUE(A63),'Week Lookup Table'!A:A,'Week Lookup Table'!B:B)</f>
        <v>#VALUE!</v>
      </c>
      <c r="L63" s="1">
        <f>'Game Lines'!L68</f>
        <v>0</v>
      </c>
    </row>
    <row r="64" spans="1:12" ht="13" x14ac:dyDescent="0.15">
      <c r="A64" s="5">
        <f>'Game Lines'!A69</f>
        <v>0</v>
      </c>
      <c r="B64" s="1">
        <f>'Game Lines'!B69</f>
        <v>0</v>
      </c>
      <c r="C64" s="1">
        <f>'Game Lines'!C69</f>
        <v>0</v>
      </c>
      <c r="D64" s="1">
        <f>'Game Lines'!D69</f>
        <v>0</v>
      </c>
      <c r="E64" s="1">
        <f>'Game Lines'!E69</f>
        <v>0</v>
      </c>
      <c r="F64" s="1">
        <f>'Game Lines'!F69</f>
        <v>0</v>
      </c>
      <c r="G64" s="1">
        <f>'Game Lines'!G69</f>
        <v>0</v>
      </c>
      <c r="H64" s="1">
        <f>'Game Lines'!H69</f>
        <v>0</v>
      </c>
      <c r="I64" s="1">
        <f>'Game Lines'!I69</f>
        <v>0</v>
      </c>
      <c r="J64" s="5">
        <f>'Game Lines'!J69</f>
        <v>0</v>
      </c>
      <c r="K64" s="1" t="e">
        <f t="array" ref="K64">_xlfn.XLOOKUP(DATEVALUE(A64),'Week Lookup Table'!A:A,'Week Lookup Table'!B:B)</f>
        <v>#VALUE!</v>
      </c>
      <c r="L64" s="1">
        <f>'Game Lines'!L69</f>
        <v>0</v>
      </c>
    </row>
    <row r="65" spans="1:12" ht="13" x14ac:dyDescent="0.15">
      <c r="A65" s="5">
        <f>'Game Lines'!A70</f>
        <v>0</v>
      </c>
      <c r="B65" s="1">
        <f>'Game Lines'!B70</f>
        <v>0</v>
      </c>
      <c r="C65" s="1">
        <f>'Game Lines'!C70</f>
        <v>0</v>
      </c>
      <c r="D65" s="1">
        <f>'Game Lines'!D70</f>
        <v>0</v>
      </c>
      <c r="E65" s="1">
        <f>'Game Lines'!E70</f>
        <v>0</v>
      </c>
      <c r="F65" s="1">
        <f>'Game Lines'!F70</f>
        <v>0</v>
      </c>
      <c r="G65" s="1">
        <f>'Game Lines'!G70</f>
        <v>0</v>
      </c>
      <c r="H65" s="1">
        <f>'Game Lines'!H70</f>
        <v>0</v>
      </c>
      <c r="I65" s="1">
        <f>'Game Lines'!I70</f>
        <v>0</v>
      </c>
      <c r="J65" s="5">
        <f>'Game Lines'!J70</f>
        <v>0</v>
      </c>
      <c r="K65" s="1" t="e">
        <f t="array" ref="K65">_xlfn.XLOOKUP(DATEVALUE(A65),'Week Lookup Table'!A:A,'Week Lookup Table'!B:B)</f>
        <v>#VALUE!</v>
      </c>
      <c r="L65" s="1">
        <f>'Game Lines'!L70</f>
        <v>0</v>
      </c>
    </row>
    <row r="66" spans="1:12" ht="13" x14ac:dyDescent="0.15">
      <c r="A66" s="5">
        <f>'Game Lines'!A71</f>
        <v>0</v>
      </c>
      <c r="B66" s="1">
        <f>'Game Lines'!B71</f>
        <v>0</v>
      </c>
      <c r="C66" s="1">
        <f>'Game Lines'!C71</f>
        <v>0</v>
      </c>
      <c r="D66" s="1">
        <f>'Game Lines'!D71</f>
        <v>0</v>
      </c>
      <c r="E66" s="1">
        <f>'Game Lines'!E71</f>
        <v>0</v>
      </c>
      <c r="F66" s="1">
        <f>'Game Lines'!F71</f>
        <v>0</v>
      </c>
      <c r="G66" s="1">
        <f>'Game Lines'!G71</f>
        <v>0</v>
      </c>
      <c r="H66" s="1">
        <f>'Game Lines'!H71</f>
        <v>0</v>
      </c>
      <c r="I66" s="1">
        <f>'Game Lines'!I71</f>
        <v>0</v>
      </c>
      <c r="J66" s="5">
        <f>'Game Lines'!J71</f>
        <v>0</v>
      </c>
      <c r="K66" s="1" t="e">
        <f t="array" ref="K66">_xlfn.XLOOKUP(DATEVALUE(A66),'Week Lookup Table'!A:A,'Week Lookup Table'!B:B)</f>
        <v>#VALUE!</v>
      </c>
      <c r="L66" s="1">
        <f>'Game Lines'!L71</f>
        <v>0</v>
      </c>
    </row>
    <row r="67" spans="1:12" ht="13" x14ac:dyDescent="0.15">
      <c r="A67" s="5">
        <f>'Game Lines'!A72</f>
        <v>0</v>
      </c>
      <c r="B67" s="1">
        <f>'Game Lines'!B72</f>
        <v>0</v>
      </c>
      <c r="C67" s="1">
        <f>'Game Lines'!C72</f>
        <v>0</v>
      </c>
      <c r="D67" s="1">
        <f>'Game Lines'!D72</f>
        <v>0</v>
      </c>
      <c r="E67" s="1">
        <f>'Game Lines'!E72</f>
        <v>0</v>
      </c>
      <c r="F67" s="1">
        <f>'Game Lines'!F72</f>
        <v>0</v>
      </c>
      <c r="G67" s="1">
        <f>'Game Lines'!G72</f>
        <v>0</v>
      </c>
      <c r="H67" s="1">
        <f>'Game Lines'!H72</f>
        <v>0</v>
      </c>
      <c r="I67" s="1">
        <f>'Game Lines'!I72</f>
        <v>0</v>
      </c>
      <c r="J67" s="5">
        <f>'Game Lines'!J72</f>
        <v>0</v>
      </c>
      <c r="K67" s="1" t="e">
        <f t="array" ref="K67">_xlfn.XLOOKUP(DATEVALUE(A67),'Week Lookup Table'!A:A,'Week Lookup Table'!B:B)</f>
        <v>#VALUE!</v>
      </c>
      <c r="L67" s="1">
        <f>'Game Lines'!L72</f>
        <v>0</v>
      </c>
    </row>
    <row r="68" spans="1:12" ht="13" x14ac:dyDescent="0.15">
      <c r="A68" s="5">
        <f>'Game Lines'!A73</f>
        <v>0</v>
      </c>
      <c r="B68" s="1">
        <f>'Game Lines'!B73</f>
        <v>0</v>
      </c>
      <c r="C68" s="1">
        <f>'Game Lines'!C73</f>
        <v>0</v>
      </c>
      <c r="D68" s="1">
        <f>'Game Lines'!D73</f>
        <v>0</v>
      </c>
      <c r="E68" s="1">
        <f>'Game Lines'!E73</f>
        <v>0</v>
      </c>
      <c r="F68" s="1">
        <f>'Game Lines'!F73</f>
        <v>0</v>
      </c>
      <c r="G68" s="1">
        <f>'Game Lines'!G73</f>
        <v>0</v>
      </c>
      <c r="H68" s="1">
        <f>'Game Lines'!H73</f>
        <v>0</v>
      </c>
      <c r="I68" s="1">
        <f>'Game Lines'!I73</f>
        <v>0</v>
      </c>
      <c r="J68" s="5">
        <f>'Game Lines'!J73</f>
        <v>0</v>
      </c>
      <c r="K68" s="1" t="e">
        <f t="array" ref="K68">_xlfn.XLOOKUP(DATEVALUE(A68),'Week Lookup Table'!A:A,'Week Lookup Table'!B:B)</f>
        <v>#VALUE!</v>
      </c>
      <c r="L68" s="1">
        <f>'Game Lines'!L73</f>
        <v>0</v>
      </c>
    </row>
    <row r="69" spans="1:12" ht="13" x14ac:dyDescent="0.15">
      <c r="A69" s="5">
        <f>'Game Lines'!A74</f>
        <v>0</v>
      </c>
      <c r="B69" s="1">
        <f>'Game Lines'!B74</f>
        <v>0</v>
      </c>
      <c r="C69" s="1">
        <f>'Game Lines'!C74</f>
        <v>0</v>
      </c>
      <c r="D69" s="1">
        <f>'Game Lines'!D74</f>
        <v>0</v>
      </c>
      <c r="E69" s="1">
        <f>'Game Lines'!E74</f>
        <v>0</v>
      </c>
      <c r="F69" s="1">
        <f>'Game Lines'!F74</f>
        <v>0</v>
      </c>
      <c r="G69" s="1">
        <f>'Game Lines'!G74</f>
        <v>0</v>
      </c>
      <c r="H69" s="1">
        <f>'Game Lines'!H74</f>
        <v>0</v>
      </c>
      <c r="I69" s="1">
        <f>'Game Lines'!I74</f>
        <v>0</v>
      </c>
      <c r="J69" s="5">
        <f>'Game Lines'!J74</f>
        <v>0</v>
      </c>
      <c r="K69" s="1" t="e">
        <f t="array" ref="K69">_xlfn.XLOOKUP(DATEVALUE(A69),'Week Lookup Table'!A:A,'Week Lookup Table'!B:B)</f>
        <v>#VALUE!</v>
      </c>
      <c r="L69" s="1">
        <f>'Game Lines'!L74</f>
        <v>0</v>
      </c>
    </row>
    <row r="70" spans="1:12" ht="13" x14ac:dyDescent="0.15">
      <c r="A70" s="5">
        <f>'Game Lines'!A75</f>
        <v>0</v>
      </c>
      <c r="B70" s="1">
        <f>'Game Lines'!B75</f>
        <v>0</v>
      </c>
      <c r="C70" s="1">
        <f>'Game Lines'!C75</f>
        <v>0</v>
      </c>
      <c r="D70" s="1">
        <f>'Game Lines'!D75</f>
        <v>0</v>
      </c>
      <c r="E70" s="1">
        <f>'Game Lines'!E75</f>
        <v>0</v>
      </c>
      <c r="F70" s="1">
        <f>'Game Lines'!F75</f>
        <v>0</v>
      </c>
      <c r="G70" s="1">
        <f>'Game Lines'!G75</f>
        <v>0</v>
      </c>
      <c r="H70" s="1">
        <f>'Game Lines'!H75</f>
        <v>0</v>
      </c>
      <c r="I70" s="1">
        <f>'Game Lines'!I75</f>
        <v>0</v>
      </c>
      <c r="J70" s="5">
        <f>'Game Lines'!J75</f>
        <v>0</v>
      </c>
      <c r="K70" s="1" t="e">
        <f t="array" ref="K70">_xlfn.XLOOKUP(DATEVALUE(A70),'Week Lookup Table'!A:A,'Week Lookup Table'!B:B)</f>
        <v>#VALUE!</v>
      </c>
      <c r="L70" s="1">
        <f>'Game Lines'!L75</f>
        <v>0</v>
      </c>
    </row>
    <row r="71" spans="1:12" ht="13" x14ac:dyDescent="0.15">
      <c r="A71" s="5">
        <f>'Game Lines'!A76</f>
        <v>0</v>
      </c>
      <c r="B71" s="1">
        <f>'Game Lines'!B76</f>
        <v>0</v>
      </c>
      <c r="C71" s="1">
        <f>'Game Lines'!C76</f>
        <v>0</v>
      </c>
      <c r="D71" s="1">
        <f>'Game Lines'!D76</f>
        <v>0</v>
      </c>
      <c r="E71" s="1">
        <f>'Game Lines'!E76</f>
        <v>0</v>
      </c>
      <c r="F71" s="1">
        <f>'Game Lines'!F76</f>
        <v>0</v>
      </c>
      <c r="G71" s="1">
        <f>'Game Lines'!G76</f>
        <v>0</v>
      </c>
      <c r="H71" s="1">
        <f>'Game Lines'!H76</f>
        <v>0</v>
      </c>
      <c r="I71" s="1">
        <f>'Game Lines'!I76</f>
        <v>0</v>
      </c>
      <c r="J71" s="5">
        <f>'Game Lines'!J76</f>
        <v>0</v>
      </c>
      <c r="K71" s="1" t="e">
        <f t="array" ref="K71">_xlfn.XLOOKUP(DATEVALUE(A71),'Week Lookup Table'!A:A,'Week Lookup Table'!B:B)</f>
        <v>#VALUE!</v>
      </c>
      <c r="L71" s="1">
        <f>'Game Lines'!L76</f>
        <v>0</v>
      </c>
    </row>
    <row r="72" spans="1:12" ht="13" x14ac:dyDescent="0.15">
      <c r="A72" s="5">
        <f>'Game Lines'!A77</f>
        <v>0</v>
      </c>
      <c r="B72" s="1">
        <f>'Game Lines'!B77</f>
        <v>0</v>
      </c>
      <c r="C72" s="1">
        <f>'Game Lines'!C77</f>
        <v>0</v>
      </c>
      <c r="D72" s="1">
        <f>'Game Lines'!D77</f>
        <v>0</v>
      </c>
      <c r="E72" s="1">
        <f>'Game Lines'!E77</f>
        <v>0</v>
      </c>
      <c r="F72" s="1">
        <f>'Game Lines'!F77</f>
        <v>0</v>
      </c>
      <c r="G72" s="1">
        <f>'Game Lines'!G77</f>
        <v>0</v>
      </c>
      <c r="H72" s="1">
        <f>'Game Lines'!H77</f>
        <v>0</v>
      </c>
      <c r="I72" s="1">
        <f>'Game Lines'!I77</f>
        <v>0</v>
      </c>
      <c r="J72" s="5">
        <f>'Game Lines'!J77</f>
        <v>0</v>
      </c>
      <c r="K72" s="1" t="e">
        <f t="array" ref="K72">_xlfn.XLOOKUP(DATEVALUE(A72),'Week Lookup Table'!A:A,'Week Lookup Table'!B:B)</f>
        <v>#VALUE!</v>
      </c>
      <c r="L72" s="1">
        <f>'Game Lines'!L77</f>
        <v>0</v>
      </c>
    </row>
    <row r="73" spans="1:12" ht="13" x14ac:dyDescent="0.15">
      <c r="A73" s="5">
        <f>'Game Lines'!A78</f>
        <v>0</v>
      </c>
      <c r="B73" s="1">
        <f>'Game Lines'!B78</f>
        <v>0</v>
      </c>
      <c r="C73" s="1">
        <f>'Game Lines'!C78</f>
        <v>0</v>
      </c>
      <c r="D73" s="1">
        <f>'Game Lines'!D78</f>
        <v>0</v>
      </c>
      <c r="E73" s="1">
        <f>'Game Lines'!E78</f>
        <v>0</v>
      </c>
      <c r="F73" s="1">
        <f>'Game Lines'!F78</f>
        <v>0</v>
      </c>
      <c r="G73" s="1">
        <f>'Game Lines'!G78</f>
        <v>0</v>
      </c>
      <c r="H73" s="1">
        <f>'Game Lines'!H78</f>
        <v>0</v>
      </c>
      <c r="I73" s="1">
        <f>'Game Lines'!I78</f>
        <v>0</v>
      </c>
      <c r="J73" s="5">
        <f>'Game Lines'!J78</f>
        <v>0</v>
      </c>
      <c r="K73" s="1" t="e">
        <f t="array" ref="K73">_xlfn.XLOOKUP(DATEVALUE(A73),'Week Lookup Table'!A:A,'Week Lookup Table'!B:B)</f>
        <v>#VALUE!</v>
      </c>
      <c r="L73" s="1">
        <f>'Game Lines'!L78</f>
        <v>0</v>
      </c>
    </row>
    <row r="74" spans="1:12" ht="13" x14ac:dyDescent="0.15">
      <c r="A74" s="5">
        <f>'Game Lines'!A79</f>
        <v>0</v>
      </c>
      <c r="B74" s="1">
        <f>'Game Lines'!B79</f>
        <v>0</v>
      </c>
      <c r="C74" s="1">
        <f>'Game Lines'!C79</f>
        <v>0</v>
      </c>
      <c r="D74" s="1">
        <f>'Game Lines'!D79</f>
        <v>0</v>
      </c>
      <c r="E74" s="1">
        <f>'Game Lines'!E79</f>
        <v>0</v>
      </c>
      <c r="F74" s="1">
        <f>'Game Lines'!F79</f>
        <v>0</v>
      </c>
      <c r="G74" s="1">
        <f>'Game Lines'!G79</f>
        <v>0</v>
      </c>
      <c r="H74" s="1">
        <f>'Game Lines'!H79</f>
        <v>0</v>
      </c>
      <c r="I74" s="1">
        <f>'Game Lines'!I79</f>
        <v>0</v>
      </c>
      <c r="J74" s="5">
        <f>'Game Lines'!J79</f>
        <v>0</v>
      </c>
      <c r="K74" s="1" t="e">
        <f t="array" ref="K74">_xlfn.XLOOKUP(DATEVALUE(A74),'Week Lookup Table'!A:A,'Week Lookup Table'!B:B)</f>
        <v>#VALUE!</v>
      </c>
      <c r="L74" s="1">
        <f>'Game Lines'!L79</f>
        <v>0</v>
      </c>
    </row>
    <row r="75" spans="1:12" ht="13" x14ac:dyDescent="0.15">
      <c r="A75" s="5">
        <f>'Game Lines'!A80</f>
        <v>0</v>
      </c>
      <c r="B75" s="1">
        <f>'Game Lines'!B80</f>
        <v>0</v>
      </c>
      <c r="C75" s="1">
        <f>'Game Lines'!C80</f>
        <v>0</v>
      </c>
      <c r="D75" s="1">
        <f>'Game Lines'!D80</f>
        <v>0</v>
      </c>
      <c r="E75" s="1">
        <f>'Game Lines'!E80</f>
        <v>0</v>
      </c>
      <c r="F75" s="1">
        <f>'Game Lines'!F80</f>
        <v>0</v>
      </c>
      <c r="G75" s="1">
        <f>'Game Lines'!G80</f>
        <v>0</v>
      </c>
      <c r="H75" s="1">
        <f>'Game Lines'!H80</f>
        <v>0</v>
      </c>
      <c r="I75" s="1">
        <f>'Game Lines'!I80</f>
        <v>0</v>
      </c>
      <c r="J75" s="5">
        <f>'Game Lines'!J80</f>
        <v>0</v>
      </c>
      <c r="K75" s="1" t="e">
        <f t="array" ref="K75">_xlfn.XLOOKUP(DATEVALUE(A75),'Week Lookup Table'!A:A,'Week Lookup Table'!B:B)</f>
        <v>#VALUE!</v>
      </c>
      <c r="L75" s="1">
        <f>'Game Lines'!L80</f>
        <v>0</v>
      </c>
    </row>
    <row r="76" spans="1:12" ht="13" x14ac:dyDescent="0.15">
      <c r="A76" s="5">
        <f>'Game Lines'!A81</f>
        <v>0</v>
      </c>
      <c r="B76" s="1">
        <f>'Game Lines'!B81</f>
        <v>0</v>
      </c>
      <c r="C76" s="1">
        <f>'Game Lines'!C81</f>
        <v>0</v>
      </c>
      <c r="D76" s="1">
        <f>'Game Lines'!D81</f>
        <v>0</v>
      </c>
      <c r="E76" s="1">
        <f>'Game Lines'!E81</f>
        <v>0</v>
      </c>
      <c r="F76" s="1">
        <f>'Game Lines'!F81</f>
        <v>0</v>
      </c>
      <c r="G76" s="1">
        <f>'Game Lines'!G81</f>
        <v>0</v>
      </c>
      <c r="H76" s="1">
        <f>'Game Lines'!H81</f>
        <v>0</v>
      </c>
      <c r="I76" s="1">
        <f>'Game Lines'!I81</f>
        <v>0</v>
      </c>
      <c r="J76" s="5">
        <f>'Game Lines'!J81</f>
        <v>0</v>
      </c>
      <c r="K76" s="1" t="e">
        <f t="array" ref="K76">_xlfn.XLOOKUP(DATEVALUE(A76),'Week Lookup Table'!A:A,'Week Lookup Table'!B:B)</f>
        <v>#VALUE!</v>
      </c>
      <c r="L76" s="1">
        <f>'Game Lines'!L81</f>
        <v>0</v>
      </c>
    </row>
    <row r="77" spans="1:12" ht="13" x14ac:dyDescent="0.15">
      <c r="A77" s="5">
        <f>'Game Lines'!A82</f>
        <v>0</v>
      </c>
      <c r="B77" s="1">
        <f>'Game Lines'!B82</f>
        <v>0</v>
      </c>
      <c r="C77" s="1">
        <f>'Game Lines'!C82</f>
        <v>0</v>
      </c>
      <c r="D77" s="1">
        <f>'Game Lines'!D82</f>
        <v>0</v>
      </c>
      <c r="E77" s="1">
        <f>'Game Lines'!E82</f>
        <v>0</v>
      </c>
      <c r="F77" s="1">
        <f>'Game Lines'!F82</f>
        <v>0</v>
      </c>
      <c r="G77" s="1">
        <f>'Game Lines'!G82</f>
        <v>0</v>
      </c>
      <c r="H77" s="1">
        <f>'Game Lines'!H82</f>
        <v>0</v>
      </c>
      <c r="I77" s="1">
        <f>'Game Lines'!I82</f>
        <v>0</v>
      </c>
      <c r="J77" s="5">
        <f>'Game Lines'!J82</f>
        <v>0</v>
      </c>
      <c r="K77" s="1" t="e">
        <f t="array" ref="K77">_xlfn.XLOOKUP(DATEVALUE(A77),'Week Lookup Table'!A:A,'Week Lookup Table'!B:B)</f>
        <v>#VALUE!</v>
      </c>
      <c r="L77" s="1">
        <f>'Game Lines'!L82</f>
        <v>0</v>
      </c>
    </row>
    <row r="78" spans="1:12" ht="13" x14ac:dyDescent="0.15">
      <c r="A78" s="5">
        <f>'Game Lines'!A83</f>
        <v>0</v>
      </c>
      <c r="B78" s="1">
        <f>'Game Lines'!B83</f>
        <v>0</v>
      </c>
      <c r="C78" s="1">
        <f>'Game Lines'!C83</f>
        <v>0</v>
      </c>
      <c r="D78" s="1">
        <f>'Game Lines'!D83</f>
        <v>0</v>
      </c>
      <c r="E78" s="1">
        <f>'Game Lines'!E83</f>
        <v>0</v>
      </c>
      <c r="F78" s="1">
        <f>'Game Lines'!F83</f>
        <v>0</v>
      </c>
      <c r="G78" s="1">
        <f>'Game Lines'!G83</f>
        <v>0</v>
      </c>
      <c r="H78" s="1">
        <f>'Game Lines'!H83</f>
        <v>0</v>
      </c>
      <c r="I78" s="1">
        <f>'Game Lines'!I83</f>
        <v>0</v>
      </c>
      <c r="J78" s="5">
        <f>'Game Lines'!J83</f>
        <v>0</v>
      </c>
      <c r="K78" s="1" t="e">
        <f t="array" ref="K78">_xlfn.XLOOKUP(DATEVALUE(A78),'Week Lookup Table'!A:A,'Week Lookup Table'!B:B)</f>
        <v>#VALUE!</v>
      </c>
      <c r="L78" s="1">
        <f>'Game Lines'!L83</f>
        <v>0</v>
      </c>
    </row>
    <row r="79" spans="1:12" ht="13" x14ac:dyDescent="0.15">
      <c r="A79" s="5">
        <f>'Game Lines'!A84</f>
        <v>0</v>
      </c>
      <c r="B79" s="1">
        <f>'Game Lines'!B84</f>
        <v>0</v>
      </c>
      <c r="C79" s="1">
        <f>'Game Lines'!C84</f>
        <v>0</v>
      </c>
      <c r="D79" s="1">
        <f>'Game Lines'!D84</f>
        <v>0</v>
      </c>
      <c r="E79" s="1">
        <f>'Game Lines'!E84</f>
        <v>0</v>
      </c>
      <c r="F79" s="1">
        <f>'Game Lines'!F84</f>
        <v>0</v>
      </c>
      <c r="G79" s="1">
        <f>'Game Lines'!G84</f>
        <v>0</v>
      </c>
      <c r="H79" s="1">
        <f>'Game Lines'!H84</f>
        <v>0</v>
      </c>
      <c r="I79" s="1">
        <f>'Game Lines'!I84</f>
        <v>0</v>
      </c>
      <c r="J79" s="5">
        <f>'Game Lines'!J84</f>
        <v>0</v>
      </c>
      <c r="K79" s="1" t="e">
        <f t="array" ref="K79">_xlfn.XLOOKUP(DATEVALUE(A79),'Week Lookup Table'!A:A,'Week Lookup Table'!B:B)</f>
        <v>#VALUE!</v>
      </c>
      <c r="L79" s="1">
        <f>'Game Lines'!L84</f>
        <v>0</v>
      </c>
    </row>
    <row r="80" spans="1:12" ht="13" x14ac:dyDescent="0.15">
      <c r="A80" s="5">
        <f>'Game Lines'!A85</f>
        <v>0</v>
      </c>
      <c r="B80" s="1">
        <f>'Game Lines'!B85</f>
        <v>0</v>
      </c>
      <c r="C80" s="1">
        <f>'Game Lines'!C85</f>
        <v>0</v>
      </c>
      <c r="D80" s="1">
        <f>'Game Lines'!D85</f>
        <v>0</v>
      </c>
      <c r="E80" s="1">
        <f>'Game Lines'!E85</f>
        <v>0</v>
      </c>
      <c r="F80" s="1">
        <f>'Game Lines'!F85</f>
        <v>0</v>
      </c>
      <c r="G80" s="1">
        <f>'Game Lines'!G85</f>
        <v>0</v>
      </c>
      <c r="H80" s="1">
        <f>'Game Lines'!H85</f>
        <v>0</v>
      </c>
      <c r="I80" s="1">
        <f>'Game Lines'!I85</f>
        <v>0</v>
      </c>
      <c r="J80" s="5">
        <f>'Game Lines'!J85</f>
        <v>0</v>
      </c>
      <c r="K80" s="1" t="e">
        <f t="array" ref="K80">_xlfn.XLOOKUP(DATEVALUE(A80),'Week Lookup Table'!A:A,'Week Lookup Table'!B:B)</f>
        <v>#VALUE!</v>
      </c>
      <c r="L80" s="1">
        <f>'Game Lines'!L85</f>
        <v>0</v>
      </c>
    </row>
    <row r="81" spans="1:12" ht="13" x14ac:dyDescent="0.15">
      <c r="A81" s="5">
        <f>'Game Lines'!A86</f>
        <v>0</v>
      </c>
      <c r="B81" s="1">
        <f>'Game Lines'!B86</f>
        <v>0</v>
      </c>
      <c r="C81" s="1">
        <f>'Game Lines'!C86</f>
        <v>0</v>
      </c>
      <c r="D81" s="1">
        <f>'Game Lines'!D86</f>
        <v>0</v>
      </c>
      <c r="E81" s="1">
        <f>'Game Lines'!E86</f>
        <v>0</v>
      </c>
      <c r="F81" s="1">
        <f>'Game Lines'!F86</f>
        <v>0</v>
      </c>
      <c r="G81" s="1">
        <f>'Game Lines'!G86</f>
        <v>0</v>
      </c>
      <c r="H81" s="1">
        <f>'Game Lines'!H86</f>
        <v>0</v>
      </c>
      <c r="I81" s="1">
        <f>'Game Lines'!I86</f>
        <v>0</v>
      </c>
      <c r="J81" s="5">
        <f>'Game Lines'!J86</f>
        <v>0</v>
      </c>
      <c r="K81" s="1" t="e">
        <f t="array" ref="K81">_xlfn.XLOOKUP(DATEVALUE(A81),'Week Lookup Table'!A:A,'Week Lookup Table'!B:B)</f>
        <v>#VALUE!</v>
      </c>
      <c r="L81" s="1">
        <f>'Game Lines'!L86</f>
        <v>0</v>
      </c>
    </row>
    <row r="82" spans="1:12" ht="13" x14ac:dyDescent="0.15">
      <c r="A82" s="5">
        <f>'Game Lines'!A87</f>
        <v>0</v>
      </c>
      <c r="B82" s="1">
        <f>'Game Lines'!B87</f>
        <v>0</v>
      </c>
      <c r="C82" s="1">
        <f>'Game Lines'!C87</f>
        <v>0</v>
      </c>
      <c r="D82" s="1">
        <f>'Game Lines'!D87</f>
        <v>0</v>
      </c>
      <c r="E82" s="1">
        <f>'Game Lines'!E87</f>
        <v>0</v>
      </c>
      <c r="F82" s="1">
        <f>'Game Lines'!F87</f>
        <v>0</v>
      </c>
      <c r="G82" s="1">
        <f>'Game Lines'!G87</f>
        <v>0</v>
      </c>
      <c r="H82" s="1">
        <f>'Game Lines'!H87</f>
        <v>0</v>
      </c>
      <c r="I82" s="1">
        <f>'Game Lines'!I87</f>
        <v>0</v>
      </c>
      <c r="J82" s="5">
        <f>'Game Lines'!J87</f>
        <v>0</v>
      </c>
      <c r="K82" s="1" t="e">
        <f t="array" ref="K82">_xlfn.XLOOKUP(DATEVALUE(A82),'Week Lookup Table'!A:A,'Week Lookup Table'!B:B)</f>
        <v>#VALUE!</v>
      </c>
      <c r="L82" s="1">
        <f>'Game Lines'!L87</f>
        <v>0</v>
      </c>
    </row>
    <row r="83" spans="1:12" ht="13" x14ac:dyDescent="0.15">
      <c r="A83" s="5">
        <f>'Game Lines'!A88</f>
        <v>0</v>
      </c>
      <c r="B83" s="1">
        <f>'Game Lines'!B88</f>
        <v>0</v>
      </c>
      <c r="C83" s="1">
        <f>'Game Lines'!C88</f>
        <v>0</v>
      </c>
      <c r="D83" s="1">
        <f>'Game Lines'!D88</f>
        <v>0</v>
      </c>
      <c r="E83" s="1">
        <f>'Game Lines'!E88</f>
        <v>0</v>
      </c>
      <c r="F83" s="1">
        <f>'Game Lines'!F88</f>
        <v>0</v>
      </c>
      <c r="G83" s="1">
        <f>'Game Lines'!G88</f>
        <v>0</v>
      </c>
      <c r="H83" s="1">
        <f>'Game Lines'!H88</f>
        <v>0</v>
      </c>
      <c r="I83" s="1">
        <f>'Game Lines'!I88</f>
        <v>0</v>
      </c>
      <c r="J83" s="5">
        <f>'Game Lines'!J88</f>
        <v>0</v>
      </c>
      <c r="K83" s="1" t="e">
        <f t="array" ref="K83">_xlfn.XLOOKUP(DATEVALUE(A83),'Week Lookup Table'!A:A,'Week Lookup Table'!B:B)</f>
        <v>#VALUE!</v>
      </c>
      <c r="L83" s="1">
        <f>'Game Lines'!L88</f>
        <v>0</v>
      </c>
    </row>
    <row r="84" spans="1:12" ht="13" x14ac:dyDescent="0.15">
      <c r="A84" s="5">
        <f>'Game Lines'!A89</f>
        <v>0</v>
      </c>
      <c r="B84" s="1">
        <f>'Game Lines'!B89</f>
        <v>0</v>
      </c>
      <c r="C84" s="1">
        <f>'Game Lines'!C89</f>
        <v>0</v>
      </c>
      <c r="D84" s="1">
        <f>'Game Lines'!D89</f>
        <v>0</v>
      </c>
      <c r="E84" s="1">
        <f>'Game Lines'!E89</f>
        <v>0</v>
      </c>
      <c r="F84" s="1">
        <f>'Game Lines'!F89</f>
        <v>0</v>
      </c>
      <c r="G84" s="1">
        <f>'Game Lines'!G89</f>
        <v>0</v>
      </c>
      <c r="H84" s="1">
        <f>'Game Lines'!H89</f>
        <v>0</v>
      </c>
      <c r="I84" s="1">
        <f>'Game Lines'!I89</f>
        <v>0</v>
      </c>
      <c r="J84" s="5">
        <f>'Game Lines'!J89</f>
        <v>0</v>
      </c>
      <c r="K84" s="1" t="e">
        <f t="array" ref="K84">_xlfn.XLOOKUP(DATEVALUE(A84),'Week Lookup Table'!A:A,'Week Lookup Table'!B:B)</f>
        <v>#VALUE!</v>
      </c>
      <c r="L84" s="1">
        <f>'Game Lines'!L89</f>
        <v>0</v>
      </c>
    </row>
    <row r="85" spans="1:12" ht="13" x14ac:dyDescent="0.15">
      <c r="A85" s="5">
        <f>'Game Lines'!A90</f>
        <v>0</v>
      </c>
      <c r="B85" s="1">
        <f>'Game Lines'!B90</f>
        <v>0</v>
      </c>
      <c r="C85" s="1">
        <f>'Game Lines'!C90</f>
        <v>0</v>
      </c>
      <c r="D85" s="1">
        <f>'Game Lines'!D90</f>
        <v>0</v>
      </c>
      <c r="E85" s="1">
        <f>'Game Lines'!E90</f>
        <v>0</v>
      </c>
      <c r="F85" s="1">
        <f>'Game Lines'!F90</f>
        <v>0</v>
      </c>
      <c r="G85" s="1">
        <f>'Game Lines'!G90</f>
        <v>0</v>
      </c>
      <c r="H85" s="1">
        <f>'Game Lines'!H90</f>
        <v>0</v>
      </c>
      <c r="I85" s="1">
        <f>'Game Lines'!I90</f>
        <v>0</v>
      </c>
      <c r="J85" s="5">
        <f>'Game Lines'!J90</f>
        <v>0</v>
      </c>
      <c r="K85" s="1" t="e">
        <f t="array" ref="K85">_xlfn.XLOOKUP(DATEVALUE(A85),'Week Lookup Table'!A:A,'Week Lookup Table'!B:B)</f>
        <v>#VALUE!</v>
      </c>
      <c r="L85" s="1">
        <f>'Game Lines'!L90</f>
        <v>0</v>
      </c>
    </row>
    <row r="86" spans="1:12" ht="13" x14ac:dyDescent="0.15">
      <c r="A86" s="5">
        <f>'Game Lines'!A91</f>
        <v>0</v>
      </c>
      <c r="B86" s="1">
        <f>'Game Lines'!B91</f>
        <v>0</v>
      </c>
      <c r="C86" s="1">
        <f>'Game Lines'!C91</f>
        <v>0</v>
      </c>
      <c r="D86" s="1">
        <f>'Game Lines'!D91</f>
        <v>0</v>
      </c>
      <c r="E86" s="1">
        <f>'Game Lines'!E91</f>
        <v>0</v>
      </c>
      <c r="F86" s="1">
        <f>'Game Lines'!F91</f>
        <v>0</v>
      </c>
      <c r="G86" s="1">
        <f>'Game Lines'!G91</f>
        <v>0</v>
      </c>
      <c r="H86" s="1">
        <f>'Game Lines'!H91</f>
        <v>0</v>
      </c>
      <c r="I86" s="1">
        <f>'Game Lines'!I91</f>
        <v>0</v>
      </c>
      <c r="J86" s="5">
        <f>'Game Lines'!J91</f>
        <v>0</v>
      </c>
      <c r="K86" s="1" t="e">
        <f t="array" ref="K86">_xlfn.XLOOKUP(DATEVALUE(A86),'Week Lookup Table'!A:A,'Week Lookup Table'!B:B)</f>
        <v>#VALUE!</v>
      </c>
      <c r="L86" s="1">
        <f>'Game Lines'!L91</f>
        <v>0</v>
      </c>
    </row>
    <row r="87" spans="1:12" ht="13" x14ac:dyDescent="0.15">
      <c r="A87" s="5">
        <f>'Game Lines'!A92</f>
        <v>0</v>
      </c>
      <c r="B87" s="1">
        <f>'Game Lines'!B92</f>
        <v>0</v>
      </c>
      <c r="C87" s="1">
        <f>'Game Lines'!C92</f>
        <v>0</v>
      </c>
      <c r="D87" s="1">
        <f>'Game Lines'!D92</f>
        <v>0</v>
      </c>
      <c r="E87" s="1">
        <f>'Game Lines'!E92</f>
        <v>0</v>
      </c>
      <c r="F87" s="1">
        <f>'Game Lines'!F92</f>
        <v>0</v>
      </c>
      <c r="G87" s="1">
        <f>'Game Lines'!G92</f>
        <v>0</v>
      </c>
      <c r="H87" s="1">
        <f>'Game Lines'!H92</f>
        <v>0</v>
      </c>
      <c r="I87" s="1">
        <f>'Game Lines'!I92</f>
        <v>0</v>
      </c>
      <c r="J87" s="5">
        <f>'Game Lines'!J92</f>
        <v>0</v>
      </c>
      <c r="K87" s="1" t="e">
        <f t="array" ref="K87">_xlfn.XLOOKUP(DATEVALUE(A87),'Week Lookup Table'!A:A,'Week Lookup Table'!B:B)</f>
        <v>#VALUE!</v>
      </c>
      <c r="L87" s="1">
        <f>'Game Lines'!L92</f>
        <v>0</v>
      </c>
    </row>
    <row r="88" spans="1:12" ht="13" x14ac:dyDescent="0.15">
      <c r="A88" s="5">
        <f>'Game Lines'!A93</f>
        <v>0</v>
      </c>
      <c r="B88" s="1">
        <f>'Game Lines'!B93</f>
        <v>0</v>
      </c>
      <c r="C88" s="1">
        <f>'Game Lines'!C93</f>
        <v>0</v>
      </c>
      <c r="D88" s="1">
        <f>'Game Lines'!D93</f>
        <v>0</v>
      </c>
      <c r="E88" s="1">
        <f>'Game Lines'!E93</f>
        <v>0</v>
      </c>
      <c r="F88" s="1">
        <f>'Game Lines'!F93</f>
        <v>0</v>
      </c>
      <c r="G88" s="1">
        <f>'Game Lines'!G93</f>
        <v>0</v>
      </c>
      <c r="H88" s="1">
        <f>'Game Lines'!H93</f>
        <v>0</v>
      </c>
      <c r="I88" s="1">
        <f>'Game Lines'!I93</f>
        <v>0</v>
      </c>
      <c r="J88" s="5">
        <f>'Game Lines'!J93</f>
        <v>0</v>
      </c>
      <c r="K88" s="1" t="e">
        <f t="array" ref="K88">_xlfn.XLOOKUP(DATEVALUE(A88),'Week Lookup Table'!A:A,'Week Lookup Table'!B:B)</f>
        <v>#VALUE!</v>
      </c>
      <c r="L88" s="1">
        <f>'Game Lines'!L93</f>
        <v>0</v>
      </c>
    </row>
    <row r="89" spans="1:12" ht="13" x14ac:dyDescent="0.15">
      <c r="A89" s="5">
        <f>'Game Lines'!A94</f>
        <v>0</v>
      </c>
      <c r="B89" s="1">
        <f>'Game Lines'!B94</f>
        <v>0</v>
      </c>
      <c r="C89" s="1">
        <f>'Game Lines'!C94</f>
        <v>0</v>
      </c>
      <c r="D89" s="1">
        <f>'Game Lines'!D94</f>
        <v>0</v>
      </c>
      <c r="E89" s="1">
        <f>'Game Lines'!E94</f>
        <v>0</v>
      </c>
      <c r="F89" s="1">
        <f>'Game Lines'!F94</f>
        <v>0</v>
      </c>
      <c r="G89" s="1">
        <f>'Game Lines'!G94</f>
        <v>0</v>
      </c>
      <c r="H89" s="1">
        <f>'Game Lines'!H94</f>
        <v>0</v>
      </c>
      <c r="I89" s="1">
        <f>'Game Lines'!I94</f>
        <v>0</v>
      </c>
      <c r="J89" s="5">
        <f>'Game Lines'!J94</f>
        <v>0</v>
      </c>
      <c r="K89" s="1" t="e">
        <f t="array" ref="K89">_xlfn.XLOOKUP(DATEVALUE(A89),'Week Lookup Table'!A:A,'Week Lookup Table'!B:B)</f>
        <v>#VALUE!</v>
      </c>
      <c r="L89" s="1">
        <f>'Game Lines'!L94</f>
        <v>0</v>
      </c>
    </row>
    <row r="90" spans="1:12" ht="13" x14ac:dyDescent="0.15">
      <c r="A90" s="5">
        <f>'Game Lines'!A95</f>
        <v>0</v>
      </c>
      <c r="B90" s="1">
        <f>'Game Lines'!B95</f>
        <v>0</v>
      </c>
      <c r="C90" s="1">
        <f>'Game Lines'!C95</f>
        <v>0</v>
      </c>
      <c r="D90" s="1">
        <f>'Game Lines'!D95</f>
        <v>0</v>
      </c>
      <c r="E90" s="1">
        <f>'Game Lines'!E95</f>
        <v>0</v>
      </c>
      <c r="F90" s="1">
        <f>'Game Lines'!F95</f>
        <v>0</v>
      </c>
      <c r="G90" s="1">
        <f>'Game Lines'!G95</f>
        <v>0</v>
      </c>
      <c r="H90" s="1">
        <f>'Game Lines'!H95</f>
        <v>0</v>
      </c>
      <c r="I90" s="1">
        <f>'Game Lines'!I95</f>
        <v>0</v>
      </c>
      <c r="J90" s="5">
        <f>'Game Lines'!J95</f>
        <v>0</v>
      </c>
      <c r="K90" s="1" t="e">
        <f t="array" ref="K90">_xlfn.XLOOKUP(DATEVALUE(A90),'Week Lookup Table'!A:A,'Week Lookup Table'!B:B)</f>
        <v>#VALUE!</v>
      </c>
      <c r="L90" s="1">
        <f>'Game Lines'!L95</f>
        <v>0</v>
      </c>
    </row>
    <row r="91" spans="1:12" ht="13" x14ac:dyDescent="0.15">
      <c r="A91" s="5">
        <f>'Game Lines'!A96</f>
        <v>0</v>
      </c>
      <c r="B91" s="1">
        <f>'Game Lines'!B96</f>
        <v>0</v>
      </c>
      <c r="C91" s="1">
        <f>'Game Lines'!C96</f>
        <v>0</v>
      </c>
      <c r="D91" s="1">
        <f>'Game Lines'!D96</f>
        <v>0</v>
      </c>
      <c r="E91" s="1">
        <f>'Game Lines'!E96</f>
        <v>0</v>
      </c>
      <c r="F91" s="1">
        <f>'Game Lines'!F96</f>
        <v>0</v>
      </c>
      <c r="G91" s="1">
        <f>'Game Lines'!G96</f>
        <v>0</v>
      </c>
      <c r="H91" s="1">
        <f>'Game Lines'!H96</f>
        <v>0</v>
      </c>
      <c r="I91" s="1">
        <f>'Game Lines'!I96</f>
        <v>0</v>
      </c>
      <c r="J91" s="5">
        <f>'Game Lines'!J96</f>
        <v>0</v>
      </c>
      <c r="K91" s="1" t="e">
        <f t="array" ref="K91">_xlfn.XLOOKUP(DATEVALUE(A91),'Week Lookup Table'!A:A,'Week Lookup Table'!B:B)</f>
        <v>#VALUE!</v>
      </c>
      <c r="L91" s="1">
        <f>'Game Lines'!L96</f>
        <v>0</v>
      </c>
    </row>
    <row r="92" spans="1:12" ht="13" x14ac:dyDescent="0.15">
      <c r="A92" s="5">
        <f>'Game Lines'!A97</f>
        <v>0</v>
      </c>
      <c r="B92" s="1">
        <f>'Game Lines'!B97</f>
        <v>0</v>
      </c>
      <c r="C92" s="1">
        <f>'Game Lines'!C97</f>
        <v>0</v>
      </c>
      <c r="D92" s="1">
        <f>'Game Lines'!D97</f>
        <v>0</v>
      </c>
      <c r="E92" s="1">
        <f>'Game Lines'!E97</f>
        <v>0</v>
      </c>
      <c r="F92" s="1">
        <f>'Game Lines'!F97</f>
        <v>0</v>
      </c>
      <c r="G92" s="1">
        <f>'Game Lines'!G97</f>
        <v>0</v>
      </c>
      <c r="H92" s="1">
        <f>'Game Lines'!H97</f>
        <v>0</v>
      </c>
      <c r="I92" s="1">
        <f>'Game Lines'!I97</f>
        <v>0</v>
      </c>
      <c r="J92" s="5">
        <f>'Game Lines'!J97</f>
        <v>0</v>
      </c>
      <c r="K92" s="1" t="e">
        <f t="array" ref="K92">_xlfn.XLOOKUP(DATEVALUE(A92),'Week Lookup Table'!A:A,'Week Lookup Table'!B:B)</f>
        <v>#VALUE!</v>
      </c>
      <c r="L92" s="1">
        <f>'Game Lines'!L97</f>
        <v>0</v>
      </c>
    </row>
    <row r="93" spans="1:12" ht="13" x14ac:dyDescent="0.15">
      <c r="A93" s="5">
        <f>'Game Lines'!A98</f>
        <v>0</v>
      </c>
      <c r="B93" s="1">
        <f>'Game Lines'!B98</f>
        <v>0</v>
      </c>
      <c r="C93" s="1">
        <f>'Game Lines'!C98</f>
        <v>0</v>
      </c>
      <c r="D93" s="1">
        <f>'Game Lines'!D98</f>
        <v>0</v>
      </c>
      <c r="E93" s="1">
        <f>'Game Lines'!E98</f>
        <v>0</v>
      </c>
      <c r="F93" s="1">
        <f>'Game Lines'!F98</f>
        <v>0</v>
      </c>
      <c r="G93" s="1">
        <f>'Game Lines'!G98</f>
        <v>0</v>
      </c>
      <c r="H93" s="1">
        <f>'Game Lines'!H98</f>
        <v>0</v>
      </c>
      <c r="I93" s="1">
        <f>'Game Lines'!I98</f>
        <v>0</v>
      </c>
      <c r="J93" s="5">
        <f>'Game Lines'!J98</f>
        <v>0</v>
      </c>
      <c r="K93" s="1" t="e">
        <f t="array" ref="K93">_xlfn.XLOOKUP(DATEVALUE(A93),'Week Lookup Table'!A:A,'Week Lookup Table'!B:B)</f>
        <v>#VALUE!</v>
      </c>
      <c r="L93" s="1">
        <f>'Game Lines'!L98</f>
        <v>0</v>
      </c>
    </row>
    <row r="94" spans="1:12" ht="13" x14ac:dyDescent="0.15">
      <c r="A94" s="5">
        <f>'Game Lines'!A99</f>
        <v>0</v>
      </c>
      <c r="B94" s="1">
        <f>'Game Lines'!B99</f>
        <v>0</v>
      </c>
      <c r="C94" s="1">
        <f>'Game Lines'!C99</f>
        <v>0</v>
      </c>
      <c r="D94" s="1">
        <f>'Game Lines'!D99</f>
        <v>0</v>
      </c>
      <c r="E94" s="1">
        <f>'Game Lines'!E99</f>
        <v>0</v>
      </c>
      <c r="F94" s="1">
        <f>'Game Lines'!F99</f>
        <v>0</v>
      </c>
      <c r="G94" s="1">
        <f>'Game Lines'!G99</f>
        <v>0</v>
      </c>
      <c r="H94" s="1">
        <f>'Game Lines'!H99</f>
        <v>0</v>
      </c>
      <c r="I94" s="1">
        <f>'Game Lines'!I99</f>
        <v>0</v>
      </c>
      <c r="J94" s="5">
        <f>'Game Lines'!J99</f>
        <v>0</v>
      </c>
      <c r="K94" s="1" t="e">
        <f t="array" ref="K94">_xlfn.XLOOKUP(DATEVALUE(A94),'Week Lookup Table'!A:A,'Week Lookup Table'!B:B)</f>
        <v>#VALUE!</v>
      </c>
      <c r="L94" s="1">
        <f>'Game Lines'!L99</f>
        <v>0</v>
      </c>
    </row>
    <row r="95" spans="1:12" ht="13" x14ac:dyDescent="0.15">
      <c r="A95" s="5">
        <f>'Game Lines'!A100</f>
        <v>0</v>
      </c>
      <c r="B95" s="1">
        <f>'Game Lines'!B100</f>
        <v>0</v>
      </c>
      <c r="C95" s="1">
        <f>'Game Lines'!C100</f>
        <v>0</v>
      </c>
      <c r="D95" s="1">
        <f>'Game Lines'!D100</f>
        <v>0</v>
      </c>
      <c r="E95" s="1">
        <f>'Game Lines'!E100</f>
        <v>0</v>
      </c>
      <c r="F95" s="1">
        <f>'Game Lines'!F100</f>
        <v>0</v>
      </c>
      <c r="G95" s="1">
        <f>'Game Lines'!G100</f>
        <v>0</v>
      </c>
      <c r="H95" s="1">
        <f>'Game Lines'!H100</f>
        <v>0</v>
      </c>
      <c r="I95" s="1">
        <f>'Game Lines'!I100</f>
        <v>0</v>
      </c>
      <c r="J95" s="5">
        <f>'Game Lines'!J100</f>
        <v>0</v>
      </c>
      <c r="K95" s="1" t="e">
        <f t="array" ref="K95">_xlfn.XLOOKUP(DATEVALUE(A95),'Week Lookup Table'!A:A,'Week Lookup Table'!B:B)</f>
        <v>#VALUE!</v>
      </c>
      <c r="L95" s="1">
        <f>'Game Lines'!L100</f>
        <v>0</v>
      </c>
    </row>
    <row r="96" spans="1:12" ht="13" x14ac:dyDescent="0.15">
      <c r="A96" s="5">
        <f>'Game Lines'!A101</f>
        <v>0</v>
      </c>
      <c r="B96" s="1">
        <f>'Game Lines'!B101</f>
        <v>0</v>
      </c>
      <c r="C96" s="1">
        <f>'Game Lines'!C101</f>
        <v>0</v>
      </c>
      <c r="D96" s="1">
        <f>'Game Lines'!D101</f>
        <v>0</v>
      </c>
      <c r="E96" s="1">
        <f>'Game Lines'!E101</f>
        <v>0</v>
      </c>
      <c r="F96" s="1">
        <f>'Game Lines'!F101</f>
        <v>0</v>
      </c>
      <c r="G96" s="1">
        <f>'Game Lines'!G101</f>
        <v>0</v>
      </c>
      <c r="H96" s="1">
        <f>'Game Lines'!H101</f>
        <v>0</v>
      </c>
      <c r="I96" s="1">
        <f>'Game Lines'!I101</f>
        <v>0</v>
      </c>
      <c r="J96" s="5">
        <f>'Game Lines'!J101</f>
        <v>0</v>
      </c>
      <c r="K96" s="1" t="e">
        <f t="array" ref="K96">_xlfn.XLOOKUP(DATEVALUE(A96),'Week Lookup Table'!A:A,'Week Lookup Table'!B:B)</f>
        <v>#VALUE!</v>
      </c>
      <c r="L96" s="1">
        <f>'Game Lines'!L101</f>
        <v>0</v>
      </c>
    </row>
    <row r="97" spans="1:12" ht="13" x14ac:dyDescent="0.15">
      <c r="A97" s="5">
        <f>'Game Lines'!A102</f>
        <v>0</v>
      </c>
      <c r="B97" s="1">
        <f>'Game Lines'!B102</f>
        <v>0</v>
      </c>
      <c r="C97" s="1">
        <f>'Game Lines'!C102</f>
        <v>0</v>
      </c>
      <c r="D97" s="1">
        <f>'Game Lines'!D102</f>
        <v>0</v>
      </c>
      <c r="E97" s="1">
        <f>'Game Lines'!E102</f>
        <v>0</v>
      </c>
      <c r="F97" s="1">
        <f>'Game Lines'!F102</f>
        <v>0</v>
      </c>
      <c r="G97" s="1">
        <f>'Game Lines'!G102</f>
        <v>0</v>
      </c>
      <c r="H97" s="1">
        <f>'Game Lines'!H102</f>
        <v>0</v>
      </c>
      <c r="I97" s="1">
        <f>'Game Lines'!I102</f>
        <v>0</v>
      </c>
      <c r="J97" s="5">
        <f>'Game Lines'!J102</f>
        <v>0</v>
      </c>
      <c r="K97" s="1" t="e">
        <f t="array" ref="K97">_xlfn.XLOOKUP(DATEVALUE(A97),'Week Lookup Table'!A:A,'Week Lookup Table'!B:B)</f>
        <v>#VALUE!</v>
      </c>
      <c r="L97" s="1">
        <f>'Game Lines'!L102</f>
        <v>0</v>
      </c>
    </row>
    <row r="98" spans="1:12" ht="13" x14ac:dyDescent="0.15">
      <c r="A98" s="5">
        <f>'Game Lines'!A103</f>
        <v>0</v>
      </c>
      <c r="B98" s="1">
        <f>'Game Lines'!B103</f>
        <v>0</v>
      </c>
      <c r="C98" s="1">
        <f>'Game Lines'!C103</f>
        <v>0</v>
      </c>
      <c r="D98" s="1">
        <f>'Game Lines'!D103</f>
        <v>0</v>
      </c>
      <c r="E98" s="1">
        <f>'Game Lines'!E103</f>
        <v>0</v>
      </c>
      <c r="F98" s="1">
        <f>'Game Lines'!F103</f>
        <v>0</v>
      </c>
      <c r="G98" s="1">
        <f>'Game Lines'!G103</f>
        <v>0</v>
      </c>
      <c r="H98" s="1">
        <f>'Game Lines'!H103</f>
        <v>0</v>
      </c>
      <c r="I98" s="1">
        <f>'Game Lines'!I103</f>
        <v>0</v>
      </c>
      <c r="J98" s="5">
        <f>'Game Lines'!J103</f>
        <v>0</v>
      </c>
      <c r="K98" s="1" t="e">
        <f t="array" ref="K98">_xlfn.XLOOKUP(DATEVALUE(A98),'Week Lookup Table'!A:A,'Week Lookup Table'!B:B)</f>
        <v>#VALUE!</v>
      </c>
      <c r="L98" s="1">
        <f>'Game Lines'!L103</f>
        <v>0</v>
      </c>
    </row>
    <row r="99" spans="1:12" ht="13" x14ac:dyDescent="0.15">
      <c r="A99" s="5">
        <f>'Game Lines'!A104</f>
        <v>0</v>
      </c>
      <c r="B99" s="1">
        <f>'Game Lines'!B104</f>
        <v>0</v>
      </c>
      <c r="C99" s="1">
        <f>'Game Lines'!C104</f>
        <v>0</v>
      </c>
      <c r="D99" s="1">
        <f>'Game Lines'!D104</f>
        <v>0</v>
      </c>
      <c r="E99" s="1">
        <f>'Game Lines'!E104</f>
        <v>0</v>
      </c>
      <c r="F99" s="1">
        <f>'Game Lines'!F104</f>
        <v>0</v>
      </c>
      <c r="G99" s="1">
        <f>'Game Lines'!G104</f>
        <v>0</v>
      </c>
      <c r="H99" s="1">
        <f>'Game Lines'!H104</f>
        <v>0</v>
      </c>
      <c r="I99" s="1">
        <f>'Game Lines'!I104</f>
        <v>0</v>
      </c>
      <c r="J99" s="5">
        <f>'Game Lines'!J104</f>
        <v>0</v>
      </c>
      <c r="K99" s="1" t="e">
        <f t="array" ref="K99">_xlfn.XLOOKUP(DATEVALUE(A99),'Week Lookup Table'!A:A,'Week Lookup Table'!B:B)</f>
        <v>#VALUE!</v>
      </c>
      <c r="L99" s="1">
        <f>'Game Lines'!L104</f>
        <v>0</v>
      </c>
    </row>
    <row r="100" spans="1:12" ht="13" x14ac:dyDescent="0.15">
      <c r="A100" s="5">
        <f>'Game Lines'!A105</f>
        <v>0</v>
      </c>
      <c r="B100" s="1">
        <f>'Game Lines'!B105</f>
        <v>0</v>
      </c>
      <c r="C100" s="1">
        <f>'Game Lines'!C105</f>
        <v>0</v>
      </c>
      <c r="D100" s="1">
        <f>'Game Lines'!D105</f>
        <v>0</v>
      </c>
      <c r="E100" s="1">
        <f>'Game Lines'!E105</f>
        <v>0</v>
      </c>
      <c r="F100" s="1">
        <f>'Game Lines'!F105</f>
        <v>0</v>
      </c>
      <c r="G100" s="1">
        <f>'Game Lines'!G105</f>
        <v>0</v>
      </c>
      <c r="H100" s="1">
        <f>'Game Lines'!H105</f>
        <v>0</v>
      </c>
      <c r="I100" s="1">
        <f>'Game Lines'!I105</f>
        <v>0</v>
      </c>
      <c r="J100" s="5">
        <f>'Game Lines'!J105</f>
        <v>0</v>
      </c>
      <c r="K100" s="1" t="e">
        <f t="array" ref="K100">_xlfn.XLOOKUP(DATEVALUE(A100),'Week Lookup Table'!A:A,'Week Lookup Table'!B:B)</f>
        <v>#VALUE!</v>
      </c>
      <c r="L100" s="1">
        <f>'Game Lines'!L105</f>
        <v>0</v>
      </c>
    </row>
    <row r="101" spans="1:12" ht="13" x14ac:dyDescent="0.15">
      <c r="A101" s="5">
        <f>'Game Lines'!A106</f>
        <v>0</v>
      </c>
      <c r="B101" s="1">
        <f>'Game Lines'!B106</f>
        <v>0</v>
      </c>
      <c r="C101" s="1">
        <f>'Game Lines'!C106</f>
        <v>0</v>
      </c>
      <c r="D101" s="1">
        <f>'Game Lines'!D106</f>
        <v>0</v>
      </c>
      <c r="E101" s="1">
        <f>'Game Lines'!E106</f>
        <v>0</v>
      </c>
      <c r="F101" s="1">
        <f>'Game Lines'!F106</f>
        <v>0</v>
      </c>
      <c r="G101" s="1">
        <f>'Game Lines'!G106</f>
        <v>0</v>
      </c>
      <c r="H101" s="1">
        <f>'Game Lines'!H106</f>
        <v>0</v>
      </c>
      <c r="I101" s="1">
        <f>'Game Lines'!I106</f>
        <v>0</v>
      </c>
      <c r="J101" s="5">
        <f>'Game Lines'!J106</f>
        <v>0</v>
      </c>
      <c r="K101" s="1" t="e">
        <f t="array" ref="K101">_xlfn.XLOOKUP(DATEVALUE(A101),'Week Lookup Table'!A:A,'Week Lookup Table'!B:B)</f>
        <v>#VALUE!</v>
      </c>
      <c r="L101" s="1">
        <f>'Game Lines'!L106</f>
        <v>0</v>
      </c>
    </row>
    <row r="102" spans="1:12" ht="13" x14ac:dyDescent="0.15">
      <c r="A102" s="5">
        <f>'Game Lines'!A107</f>
        <v>0</v>
      </c>
      <c r="B102" s="1">
        <f>'Game Lines'!B107</f>
        <v>0</v>
      </c>
      <c r="C102" s="1">
        <f>'Game Lines'!C107</f>
        <v>0</v>
      </c>
      <c r="D102" s="1">
        <f>'Game Lines'!D107</f>
        <v>0</v>
      </c>
      <c r="E102" s="1">
        <f>'Game Lines'!E107</f>
        <v>0</v>
      </c>
      <c r="F102" s="1">
        <f>'Game Lines'!F107</f>
        <v>0</v>
      </c>
      <c r="G102" s="1">
        <f>'Game Lines'!G107</f>
        <v>0</v>
      </c>
      <c r="H102" s="1">
        <f>'Game Lines'!H107</f>
        <v>0</v>
      </c>
      <c r="I102" s="1">
        <f>'Game Lines'!I107</f>
        <v>0</v>
      </c>
      <c r="J102" s="5">
        <f>'Game Lines'!J107</f>
        <v>0</v>
      </c>
      <c r="K102" s="1" t="e">
        <f t="array" ref="K102">_xlfn.XLOOKUP(DATEVALUE(A102),'Week Lookup Table'!A:A,'Week Lookup Table'!B:B)</f>
        <v>#VALUE!</v>
      </c>
      <c r="L102" s="1">
        <f>'Game Lines'!L107</f>
        <v>0</v>
      </c>
    </row>
    <row r="103" spans="1:12" ht="13" x14ac:dyDescent="0.15">
      <c r="A103" s="5">
        <f>'Game Lines'!A108</f>
        <v>0</v>
      </c>
      <c r="B103" s="1">
        <f>'Game Lines'!B108</f>
        <v>0</v>
      </c>
      <c r="C103" s="1">
        <f>'Game Lines'!C108</f>
        <v>0</v>
      </c>
      <c r="D103" s="1">
        <f>'Game Lines'!D108</f>
        <v>0</v>
      </c>
      <c r="E103" s="1">
        <f>'Game Lines'!E108</f>
        <v>0</v>
      </c>
      <c r="F103" s="1">
        <f>'Game Lines'!F108</f>
        <v>0</v>
      </c>
      <c r="G103" s="1">
        <f>'Game Lines'!G108</f>
        <v>0</v>
      </c>
      <c r="H103" s="1">
        <f>'Game Lines'!H108</f>
        <v>0</v>
      </c>
      <c r="I103" s="1">
        <f>'Game Lines'!I108</f>
        <v>0</v>
      </c>
      <c r="J103" s="5">
        <f>'Game Lines'!J108</f>
        <v>0</v>
      </c>
      <c r="K103" s="1" t="e">
        <f t="array" ref="K103">_xlfn.XLOOKUP(DATEVALUE(A103),'Week Lookup Table'!A:A,'Week Lookup Table'!B:B)</f>
        <v>#VALUE!</v>
      </c>
      <c r="L103" s="1">
        <f>'Game Lines'!L108</f>
        <v>0</v>
      </c>
    </row>
    <row r="104" spans="1:12" ht="13" x14ac:dyDescent="0.15">
      <c r="A104" s="5">
        <f>'Game Lines'!A109</f>
        <v>0</v>
      </c>
      <c r="B104" s="1">
        <f>'Game Lines'!B109</f>
        <v>0</v>
      </c>
      <c r="C104" s="1">
        <f>'Game Lines'!C109</f>
        <v>0</v>
      </c>
      <c r="D104" s="1">
        <f>'Game Lines'!D109</f>
        <v>0</v>
      </c>
      <c r="E104" s="1">
        <f>'Game Lines'!E109</f>
        <v>0</v>
      </c>
      <c r="F104" s="1">
        <f>'Game Lines'!F109</f>
        <v>0</v>
      </c>
      <c r="G104" s="1">
        <f>'Game Lines'!G109</f>
        <v>0</v>
      </c>
      <c r="H104" s="1">
        <f>'Game Lines'!H109</f>
        <v>0</v>
      </c>
      <c r="I104" s="1">
        <f>'Game Lines'!I109</f>
        <v>0</v>
      </c>
      <c r="J104" s="5">
        <f>'Game Lines'!J109</f>
        <v>0</v>
      </c>
      <c r="K104" s="1" t="e">
        <f t="array" ref="K104">_xlfn.XLOOKUP(DATEVALUE(A104),'Week Lookup Table'!A:A,'Week Lookup Table'!B:B)</f>
        <v>#VALUE!</v>
      </c>
      <c r="L104" s="1">
        <f>'Game Lines'!L109</f>
        <v>0</v>
      </c>
    </row>
    <row r="105" spans="1:12" ht="13" x14ac:dyDescent="0.15">
      <c r="A105" s="5">
        <f>'Game Lines'!A110</f>
        <v>0</v>
      </c>
      <c r="B105" s="1">
        <f>'Game Lines'!B110</f>
        <v>0</v>
      </c>
      <c r="C105" s="1">
        <f>'Game Lines'!C110</f>
        <v>0</v>
      </c>
      <c r="D105" s="1">
        <f>'Game Lines'!D110</f>
        <v>0</v>
      </c>
      <c r="E105" s="1">
        <f>'Game Lines'!E110</f>
        <v>0</v>
      </c>
      <c r="F105" s="1">
        <f>'Game Lines'!F110</f>
        <v>0</v>
      </c>
      <c r="G105" s="1">
        <f>'Game Lines'!G110</f>
        <v>0</v>
      </c>
      <c r="H105" s="1">
        <f>'Game Lines'!H110</f>
        <v>0</v>
      </c>
      <c r="I105" s="1">
        <f>'Game Lines'!I110</f>
        <v>0</v>
      </c>
      <c r="J105" s="5">
        <f>'Game Lines'!J110</f>
        <v>0</v>
      </c>
      <c r="K105" s="1" t="e">
        <f t="array" ref="K105">_xlfn.XLOOKUP(DATEVALUE(A105),'Week Lookup Table'!A:A,'Week Lookup Table'!B:B)</f>
        <v>#VALUE!</v>
      </c>
      <c r="L105" s="1">
        <f>'Game Lines'!L110</f>
        <v>0</v>
      </c>
    </row>
    <row r="106" spans="1:12" ht="13" x14ac:dyDescent="0.15">
      <c r="A106" s="5">
        <f>'Game Lines'!A111</f>
        <v>0</v>
      </c>
      <c r="B106" s="1">
        <f>'Game Lines'!B111</f>
        <v>0</v>
      </c>
      <c r="C106" s="1">
        <f>'Game Lines'!C111</f>
        <v>0</v>
      </c>
      <c r="D106" s="1">
        <f>'Game Lines'!D111</f>
        <v>0</v>
      </c>
      <c r="E106" s="1">
        <f>'Game Lines'!E111</f>
        <v>0</v>
      </c>
      <c r="F106" s="1">
        <f>'Game Lines'!F111</f>
        <v>0</v>
      </c>
      <c r="G106" s="1">
        <f>'Game Lines'!G111</f>
        <v>0</v>
      </c>
      <c r="H106" s="1">
        <f>'Game Lines'!H111</f>
        <v>0</v>
      </c>
      <c r="I106" s="1">
        <f>'Game Lines'!I111</f>
        <v>0</v>
      </c>
      <c r="J106" s="5">
        <f>'Game Lines'!J111</f>
        <v>0</v>
      </c>
      <c r="K106" s="1" t="e">
        <f t="array" ref="K106">_xlfn.XLOOKUP(DATEVALUE(A106),'Week Lookup Table'!A:A,'Week Lookup Table'!B:B)</f>
        <v>#VALUE!</v>
      </c>
      <c r="L106" s="1">
        <f>'Game Lines'!L111</f>
        <v>0</v>
      </c>
    </row>
    <row r="107" spans="1:12" ht="13" x14ac:dyDescent="0.15">
      <c r="A107" s="5">
        <f>'Game Lines'!A112</f>
        <v>0</v>
      </c>
      <c r="B107" s="1">
        <f>'Game Lines'!B112</f>
        <v>0</v>
      </c>
      <c r="C107" s="1">
        <f>'Game Lines'!C112</f>
        <v>0</v>
      </c>
      <c r="D107" s="1">
        <f>'Game Lines'!D112</f>
        <v>0</v>
      </c>
      <c r="E107" s="1">
        <f>'Game Lines'!E112</f>
        <v>0</v>
      </c>
      <c r="F107" s="1">
        <f>'Game Lines'!F112</f>
        <v>0</v>
      </c>
      <c r="G107" s="1">
        <f>'Game Lines'!G112</f>
        <v>0</v>
      </c>
      <c r="H107" s="1">
        <f>'Game Lines'!H112</f>
        <v>0</v>
      </c>
      <c r="I107" s="1">
        <f>'Game Lines'!I112</f>
        <v>0</v>
      </c>
      <c r="J107" s="5">
        <f>'Game Lines'!J112</f>
        <v>0</v>
      </c>
      <c r="K107" s="1" t="e">
        <f t="array" ref="K107">_xlfn.XLOOKUP(DATEVALUE(A107),'Week Lookup Table'!A:A,'Week Lookup Table'!B:B)</f>
        <v>#VALUE!</v>
      </c>
      <c r="L107" s="1">
        <f>'Game Lines'!L112</f>
        <v>0</v>
      </c>
    </row>
    <row r="108" spans="1:12" ht="13" x14ac:dyDescent="0.15">
      <c r="A108" s="5">
        <f>'Game Lines'!A113</f>
        <v>0</v>
      </c>
      <c r="B108" s="1">
        <f>'Game Lines'!B113</f>
        <v>0</v>
      </c>
      <c r="C108" s="1">
        <f>'Game Lines'!C113</f>
        <v>0</v>
      </c>
      <c r="D108" s="1">
        <f>'Game Lines'!D113</f>
        <v>0</v>
      </c>
      <c r="E108" s="1">
        <f>'Game Lines'!E113</f>
        <v>0</v>
      </c>
      <c r="F108" s="1">
        <f>'Game Lines'!F113</f>
        <v>0</v>
      </c>
      <c r="G108" s="1">
        <f>'Game Lines'!G113</f>
        <v>0</v>
      </c>
      <c r="H108" s="1">
        <f>'Game Lines'!H113</f>
        <v>0</v>
      </c>
      <c r="I108" s="1">
        <f>'Game Lines'!I113</f>
        <v>0</v>
      </c>
      <c r="J108" s="5">
        <f>'Game Lines'!J113</f>
        <v>0</v>
      </c>
      <c r="K108" s="1" t="e">
        <f t="array" ref="K108">_xlfn.XLOOKUP(DATEVALUE(A108),'Week Lookup Table'!A:A,'Week Lookup Table'!B:B)</f>
        <v>#VALUE!</v>
      </c>
      <c r="L108" s="1">
        <f>'Game Lines'!L113</f>
        <v>0</v>
      </c>
    </row>
    <row r="109" spans="1:12" ht="13" x14ac:dyDescent="0.15">
      <c r="A109" s="5">
        <f>'Game Lines'!A114</f>
        <v>0</v>
      </c>
      <c r="B109" s="1">
        <f>'Game Lines'!B114</f>
        <v>0</v>
      </c>
      <c r="C109" s="1">
        <f>'Game Lines'!C114</f>
        <v>0</v>
      </c>
      <c r="D109" s="1">
        <f>'Game Lines'!D114</f>
        <v>0</v>
      </c>
      <c r="E109" s="1">
        <f>'Game Lines'!E114</f>
        <v>0</v>
      </c>
      <c r="F109" s="1">
        <f>'Game Lines'!F114</f>
        <v>0</v>
      </c>
      <c r="G109" s="1">
        <f>'Game Lines'!G114</f>
        <v>0</v>
      </c>
      <c r="H109" s="1">
        <f>'Game Lines'!H114</f>
        <v>0</v>
      </c>
      <c r="I109" s="1">
        <f>'Game Lines'!I114</f>
        <v>0</v>
      </c>
      <c r="J109" s="5">
        <f>'Game Lines'!J114</f>
        <v>0</v>
      </c>
      <c r="K109" s="1" t="e">
        <f t="array" ref="K109">_xlfn.XLOOKUP(DATEVALUE(A109),'Week Lookup Table'!A:A,'Week Lookup Table'!B:B)</f>
        <v>#VALUE!</v>
      </c>
      <c r="L109" s="1">
        <f>'Game Lines'!L114</f>
        <v>0</v>
      </c>
    </row>
    <row r="110" spans="1:12" ht="13" x14ac:dyDescent="0.15">
      <c r="A110" s="5">
        <f>'Game Lines'!A115</f>
        <v>0</v>
      </c>
      <c r="B110" s="1">
        <f>'Game Lines'!B115</f>
        <v>0</v>
      </c>
      <c r="C110" s="1">
        <f>'Game Lines'!C115</f>
        <v>0</v>
      </c>
      <c r="D110" s="1">
        <f>'Game Lines'!D115</f>
        <v>0</v>
      </c>
      <c r="E110" s="1">
        <f>'Game Lines'!E115</f>
        <v>0</v>
      </c>
      <c r="F110" s="1">
        <f>'Game Lines'!F115</f>
        <v>0</v>
      </c>
      <c r="G110" s="1">
        <f>'Game Lines'!G115</f>
        <v>0</v>
      </c>
      <c r="H110" s="1">
        <f>'Game Lines'!H115</f>
        <v>0</v>
      </c>
      <c r="I110" s="1">
        <f>'Game Lines'!I115</f>
        <v>0</v>
      </c>
      <c r="J110" s="5">
        <f>'Game Lines'!J115</f>
        <v>0</v>
      </c>
      <c r="K110" s="1" t="e">
        <f t="array" ref="K110">_xlfn.XLOOKUP(DATEVALUE(A110),'Week Lookup Table'!A:A,'Week Lookup Table'!B:B)</f>
        <v>#VALUE!</v>
      </c>
      <c r="L110" s="1">
        <f>'Game Lines'!L115</f>
        <v>0</v>
      </c>
    </row>
    <row r="111" spans="1:12" ht="13" x14ac:dyDescent="0.15">
      <c r="A111" s="5">
        <f>'Game Lines'!A116</f>
        <v>0</v>
      </c>
      <c r="B111" s="1">
        <f>'Game Lines'!B116</f>
        <v>0</v>
      </c>
      <c r="C111" s="1">
        <f>'Game Lines'!C116</f>
        <v>0</v>
      </c>
      <c r="D111" s="1">
        <f>'Game Lines'!D116</f>
        <v>0</v>
      </c>
      <c r="E111" s="1">
        <f>'Game Lines'!E116</f>
        <v>0</v>
      </c>
      <c r="F111" s="1">
        <f>'Game Lines'!F116</f>
        <v>0</v>
      </c>
      <c r="G111" s="1">
        <f>'Game Lines'!G116</f>
        <v>0</v>
      </c>
      <c r="H111" s="1">
        <f>'Game Lines'!H116</f>
        <v>0</v>
      </c>
      <c r="I111" s="1">
        <f>'Game Lines'!I116</f>
        <v>0</v>
      </c>
      <c r="J111" s="5">
        <f>'Game Lines'!J116</f>
        <v>0</v>
      </c>
      <c r="K111" s="1" t="e">
        <f t="array" ref="K111">_xlfn.XLOOKUP(DATEVALUE(A111),'Week Lookup Table'!A:A,'Week Lookup Table'!B:B)</f>
        <v>#VALUE!</v>
      </c>
      <c r="L111" s="1">
        <f>'Game Lines'!L116</f>
        <v>0</v>
      </c>
    </row>
    <row r="112" spans="1:12" ht="13" x14ac:dyDescent="0.15">
      <c r="A112" s="5">
        <f>'Game Lines'!A117</f>
        <v>0</v>
      </c>
      <c r="B112" s="1">
        <f>'Game Lines'!B117</f>
        <v>0</v>
      </c>
      <c r="C112" s="1">
        <f>'Game Lines'!C117</f>
        <v>0</v>
      </c>
      <c r="D112" s="1">
        <f>'Game Lines'!D117</f>
        <v>0</v>
      </c>
      <c r="E112" s="1">
        <f>'Game Lines'!E117</f>
        <v>0</v>
      </c>
      <c r="F112" s="1">
        <f>'Game Lines'!F117</f>
        <v>0</v>
      </c>
      <c r="G112" s="1">
        <f>'Game Lines'!G117</f>
        <v>0</v>
      </c>
      <c r="H112" s="1">
        <f>'Game Lines'!H117</f>
        <v>0</v>
      </c>
      <c r="I112" s="1">
        <f>'Game Lines'!I117</f>
        <v>0</v>
      </c>
      <c r="J112" s="5">
        <f>'Game Lines'!J117</f>
        <v>0</v>
      </c>
      <c r="K112" s="1" t="e">
        <f t="array" ref="K112">_xlfn.XLOOKUP(DATEVALUE(A112),'Week Lookup Table'!A:A,'Week Lookup Table'!B:B)</f>
        <v>#VALUE!</v>
      </c>
      <c r="L112" s="1">
        <f>'Game Lines'!L117</f>
        <v>0</v>
      </c>
    </row>
    <row r="113" spans="1:12" ht="13" x14ac:dyDescent="0.15">
      <c r="A113" s="5">
        <f>'Game Lines'!A118</f>
        <v>0</v>
      </c>
      <c r="B113" s="1">
        <f>'Game Lines'!B118</f>
        <v>0</v>
      </c>
      <c r="C113" s="1">
        <f>'Game Lines'!C118</f>
        <v>0</v>
      </c>
      <c r="D113" s="1">
        <f>'Game Lines'!D118</f>
        <v>0</v>
      </c>
      <c r="E113" s="1">
        <f>'Game Lines'!E118</f>
        <v>0</v>
      </c>
      <c r="F113" s="1">
        <f>'Game Lines'!F118</f>
        <v>0</v>
      </c>
      <c r="G113" s="1">
        <f>'Game Lines'!G118</f>
        <v>0</v>
      </c>
      <c r="H113" s="1">
        <f>'Game Lines'!H118</f>
        <v>0</v>
      </c>
      <c r="I113" s="1">
        <f>'Game Lines'!I118</f>
        <v>0</v>
      </c>
      <c r="J113" s="5">
        <f>'Game Lines'!J118</f>
        <v>0</v>
      </c>
      <c r="K113" s="1" t="e">
        <f t="array" ref="K113">_xlfn.XLOOKUP(DATEVALUE(A113),'Week Lookup Table'!A:A,'Week Lookup Table'!B:B)</f>
        <v>#VALUE!</v>
      </c>
      <c r="L113" s="1">
        <f>'Game Lines'!L118</f>
        <v>0</v>
      </c>
    </row>
    <row r="114" spans="1:12" ht="13" x14ac:dyDescent="0.15">
      <c r="A114" s="5">
        <f>'Game Lines'!A119</f>
        <v>0</v>
      </c>
      <c r="B114" s="1">
        <f>'Game Lines'!B119</f>
        <v>0</v>
      </c>
      <c r="C114" s="1">
        <f>'Game Lines'!C119</f>
        <v>0</v>
      </c>
      <c r="D114" s="1">
        <f>'Game Lines'!D119</f>
        <v>0</v>
      </c>
      <c r="E114" s="1">
        <f>'Game Lines'!E119</f>
        <v>0</v>
      </c>
      <c r="F114" s="1">
        <f>'Game Lines'!F119</f>
        <v>0</v>
      </c>
      <c r="G114" s="1">
        <f>'Game Lines'!G119</f>
        <v>0</v>
      </c>
      <c r="H114" s="1">
        <f>'Game Lines'!H119</f>
        <v>0</v>
      </c>
      <c r="I114" s="1">
        <f>'Game Lines'!I119</f>
        <v>0</v>
      </c>
      <c r="J114" s="5">
        <f>'Game Lines'!J119</f>
        <v>0</v>
      </c>
      <c r="K114" s="1" t="e">
        <f t="array" ref="K114">_xlfn.XLOOKUP(DATEVALUE(A114),'Week Lookup Table'!A:A,'Week Lookup Table'!B:B)</f>
        <v>#VALUE!</v>
      </c>
      <c r="L114" s="1">
        <f>'Game Lines'!L119</f>
        <v>0</v>
      </c>
    </row>
    <row r="115" spans="1:12" ht="13" x14ac:dyDescent="0.15">
      <c r="A115" s="5">
        <f>'Game Lines'!A120</f>
        <v>0</v>
      </c>
      <c r="B115" s="1">
        <f>'Game Lines'!B120</f>
        <v>0</v>
      </c>
      <c r="C115" s="1">
        <f>'Game Lines'!C120</f>
        <v>0</v>
      </c>
      <c r="D115" s="1">
        <f>'Game Lines'!D120</f>
        <v>0</v>
      </c>
      <c r="E115" s="1">
        <f>'Game Lines'!E120</f>
        <v>0</v>
      </c>
      <c r="F115" s="1">
        <f>'Game Lines'!F120</f>
        <v>0</v>
      </c>
      <c r="G115" s="1">
        <f>'Game Lines'!G120</f>
        <v>0</v>
      </c>
      <c r="H115" s="1">
        <f>'Game Lines'!H120</f>
        <v>0</v>
      </c>
      <c r="I115" s="1">
        <f>'Game Lines'!I120</f>
        <v>0</v>
      </c>
      <c r="J115" s="5">
        <f>'Game Lines'!J120</f>
        <v>0</v>
      </c>
      <c r="K115" s="1" t="e">
        <f t="array" ref="K115">_xlfn.XLOOKUP(DATEVALUE(A115),'Week Lookup Table'!A:A,'Week Lookup Table'!B:B)</f>
        <v>#VALUE!</v>
      </c>
      <c r="L115" s="1">
        <f>'Game Lines'!L120</f>
        <v>0</v>
      </c>
    </row>
    <row r="116" spans="1:12" ht="13" x14ac:dyDescent="0.15">
      <c r="A116" s="5">
        <f>'Game Lines'!A121</f>
        <v>0</v>
      </c>
      <c r="B116" s="1">
        <f>'Game Lines'!B121</f>
        <v>0</v>
      </c>
      <c r="C116" s="1">
        <f>'Game Lines'!C121</f>
        <v>0</v>
      </c>
      <c r="D116" s="1">
        <f>'Game Lines'!D121</f>
        <v>0</v>
      </c>
      <c r="E116" s="1">
        <f>'Game Lines'!E121</f>
        <v>0</v>
      </c>
      <c r="F116" s="1">
        <f>'Game Lines'!F121</f>
        <v>0</v>
      </c>
      <c r="G116" s="1">
        <f>'Game Lines'!G121</f>
        <v>0</v>
      </c>
      <c r="H116" s="1">
        <f>'Game Lines'!H121</f>
        <v>0</v>
      </c>
      <c r="I116" s="1">
        <f>'Game Lines'!I121</f>
        <v>0</v>
      </c>
      <c r="J116" s="5">
        <f>'Game Lines'!J121</f>
        <v>0</v>
      </c>
      <c r="K116" s="1" t="e">
        <f t="array" ref="K116">_xlfn.XLOOKUP(DATEVALUE(A116),'Week Lookup Table'!A:A,'Week Lookup Table'!B:B)</f>
        <v>#VALUE!</v>
      </c>
      <c r="L116" s="1">
        <f>'Game Lines'!L121</f>
        <v>0</v>
      </c>
    </row>
    <row r="117" spans="1:12" ht="13" x14ac:dyDescent="0.15">
      <c r="A117" s="5">
        <f>'Game Lines'!A122</f>
        <v>0</v>
      </c>
      <c r="B117" s="1">
        <f>'Game Lines'!B122</f>
        <v>0</v>
      </c>
      <c r="C117" s="1">
        <f>'Game Lines'!C122</f>
        <v>0</v>
      </c>
      <c r="D117" s="1">
        <f>'Game Lines'!D122</f>
        <v>0</v>
      </c>
      <c r="E117" s="1">
        <f>'Game Lines'!E122</f>
        <v>0</v>
      </c>
      <c r="F117" s="1">
        <f>'Game Lines'!F122</f>
        <v>0</v>
      </c>
      <c r="G117" s="1">
        <f>'Game Lines'!G122</f>
        <v>0</v>
      </c>
      <c r="H117" s="1">
        <f>'Game Lines'!H122</f>
        <v>0</v>
      </c>
      <c r="I117" s="1">
        <f>'Game Lines'!I122</f>
        <v>0</v>
      </c>
      <c r="J117" s="5">
        <f>'Game Lines'!J122</f>
        <v>0</v>
      </c>
      <c r="K117" s="1" t="e">
        <f t="array" ref="K117">_xlfn.XLOOKUP(DATEVALUE(A117),'Week Lookup Table'!A:A,'Week Lookup Table'!B:B)</f>
        <v>#VALUE!</v>
      </c>
      <c r="L117" s="1">
        <f>'Game Lines'!L122</f>
        <v>0</v>
      </c>
    </row>
    <row r="118" spans="1:12" ht="13" x14ac:dyDescent="0.15">
      <c r="A118" s="5">
        <f>'Game Lines'!A123</f>
        <v>0</v>
      </c>
      <c r="B118" s="1">
        <f>'Game Lines'!B123</f>
        <v>0</v>
      </c>
      <c r="C118" s="1">
        <f>'Game Lines'!C123</f>
        <v>0</v>
      </c>
      <c r="D118" s="1">
        <f>'Game Lines'!D123</f>
        <v>0</v>
      </c>
      <c r="E118" s="1">
        <f>'Game Lines'!E123</f>
        <v>0</v>
      </c>
      <c r="F118" s="1">
        <f>'Game Lines'!F123</f>
        <v>0</v>
      </c>
      <c r="G118" s="1">
        <f>'Game Lines'!G123</f>
        <v>0</v>
      </c>
      <c r="H118" s="1">
        <f>'Game Lines'!H123</f>
        <v>0</v>
      </c>
      <c r="I118" s="1">
        <f>'Game Lines'!I123</f>
        <v>0</v>
      </c>
      <c r="J118" s="5">
        <f>'Game Lines'!J123</f>
        <v>0</v>
      </c>
      <c r="K118" s="1" t="e">
        <f t="array" ref="K118">_xlfn.XLOOKUP(DATEVALUE(A118),'Week Lookup Table'!A:A,'Week Lookup Table'!B:B)</f>
        <v>#VALUE!</v>
      </c>
      <c r="L118" s="1">
        <f>'Game Lines'!L123</f>
        <v>0</v>
      </c>
    </row>
    <row r="119" spans="1:12" ht="13" x14ac:dyDescent="0.15">
      <c r="A119" s="5">
        <f>'Game Lines'!A124</f>
        <v>0</v>
      </c>
      <c r="B119" s="1">
        <f>'Game Lines'!B124</f>
        <v>0</v>
      </c>
      <c r="C119" s="1">
        <f>'Game Lines'!C124</f>
        <v>0</v>
      </c>
      <c r="D119" s="1">
        <f>'Game Lines'!D124</f>
        <v>0</v>
      </c>
      <c r="E119" s="1">
        <f>'Game Lines'!E124</f>
        <v>0</v>
      </c>
      <c r="F119" s="1">
        <f>'Game Lines'!F124</f>
        <v>0</v>
      </c>
      <c r="G119" s="1">
        <f>'Game Lines'!G124</f>
        <v>0</v>
      </c>
      <c r="H119" s="1">
        <f>'Game Lines'!H124</f>
        <v>0</v>
      </c>
      <c r="I119" s="1">
        <f>'Game Lines'!I124</f>
        <v>0</v>
      </c>
      <c r="J119" s="5">
        <f>'Game Lines'!J124</f>
        <v>0</v>
      </c>
      <c r="K119" s="1" t="e">
        <f t="array" ref="K119">_xlfn.XLOOKUP(DATEVALUE(A119),'Week Lookup Table'!A:A,'Week Lookup Table'!B:B)</f>
        <v>#VALUE!</v>
      </c>
      <c r="L119" s="1">
        <f>'Game Lines'!L124</f>
        <v>0</v>
      </c>
    </row>
    <row r="120" spans="1:12" ht="13" x14ac:dyDescent="0.15">
      <c r="A120" s="5">
        <f>'Game Lines'!A125</f>
        <v>0</v>
      </c>
      <c r="B120" s="1">
        <f>'Game Lines'!B125</f>
        <v>0</v>
      </c>
      <c r="C120" s="1">
        <f>'Game Lines'!C125</f>
        <v>0</v>
      </c>
      <c r="D120" s="1">
        <f>'Game Lines'!D125</f>
        <v>0</v>
      </c>
      <c r="E120" s="1">
        <f>'Game Lines'!E125</f>
        <v>0</v>
      </c>
      <c r="F120" s="1">
        <f>'Game Lines'!F125</f>
        <v>0</v>
      </c>
      <c r="G120" s="1">
        <f>'Game Lines'!G125</f>
        <v>0</v>
      </c>
      <c r="H120" s="1">
        <f>'Game Lines'!H125</f>
        <v>0</v>
      </c>
      <c r="I120" s="1">
        <f>'Game Lines'!I125</f>
        <v>0</v>
      </c>
      <c r="J120" s="5">
        <f>'Game Lines'!J125</f>
        <v>0</v>
      </c>
      <c r="K120" s="1" t="e">
        <f t="array" ref="K120">_xlfn.XLOOKUP(DATEVALUE(A120),'Week Lookup Table'!A:A,'Week Lookup Table'!B:B)</f>
        <v>#VALUE!</v>
      </c>
      <c r="L120" s="1">
        <f>'Game Lines'!L125</f>
        <v>0</v>
      </c>
    </row>
    <row r="121" spans="1:12" ht="13" x14ac:dyDescent="0.15">
      <c r="A121" s="5">
        <f>'Game Lines'!A126</f>
        <v>0</v>
      </c>
      <c r="B121" s="1">
        <f>'Game Lines'!B126</f>
        <v>0</v>
      </c>
      <c r="C121" s="1">
        <f>'Game Lines'!C126</f>
        <v>0</v>
      </c>
      <c r="D121" s="1">
        <f>'Game Lines'!D126</f>
        <v>0</v>
      </c>
      <c r="E121" s="1">
        <f>'Game Lines'!E126</f>
        <v>0</v>
      </c>
      <c r="F121" s="1">
        <f>'Game Lines'!F126</f>
        <v>0</v>
      </c>
      <c r="G121" s="1">
        <f>'Game Lines'!G126</f>
        <v>0</v>
      </c>
      <c r="H121" s="1">
        <f>'Game Lines'!H126</f>
        <v>0</v>
      </c>
      <c r="I121" s="1">
        <f>'Game Lines'!I126</f>
        <v>0</v>
      </c>
      <c r="J121" s="5">
        <f>'Game Lines'!J126</f>
        <v>0</v>
      </c>
      <c r="K121" s="1" t="e">
        <f t="array" ref="K121">_xlfn.XLOOKUP(DATEVALUE(A121),'Week Lookup Table'!A:A,'Week Lookup Table'!B:B)</f>
        <v>#VALUE!</v>
      </c>
      <c r="L121" s="1">
        <f>'Game Lines'!L126</f>
        <v>0</v>
      </c>
    </row>
    <row r="122" spans="1:12" ht="13" x14ac:dyDescent="0.15">
      <c r="A122" s="5">
        <f>'Game Lines'!A127</f>
        <v>0</v>
      </c>
      <c r="B122" s="1">
        <f>'Game Lines'!B127</f>
        <v>0</v>
      </c>
      <c r="C122" s="1">
        <f>'Game Lines'!C127</f>
        <v>0</v>
      </c>
      <c r="D122" s="1">
        <f>'Game Lines'!D127</f>
        <v>0</v>
      </c>
      <c r="E122" s="1">
        <f>'Game Lines'!E127</f>
        <v>0</v>
      </c>
      <c r="F122" s="1">
        <f>'Game Lines'!F127</f>
        <v>0</v>
      </c>
      <c r="G122" s="1">
        <f>'Game Lines'!G127</f>
        <v>0</v>
      </c>
      <c r="H122" s="1">
        <f>'Game Lines'!H127</f>
        <v>0</v>
      </c>
      <c r="I122" s="1">
        <f>'Game Lines'!I127</f>
        <v>0</v>
      </c>
      <c r="J122" s="5">
        <f>'Game Lines'!J127</f>
        <v>0</v>
      </c>
      <c r="K122" s="1" t="e">
        <f t="array" ref="K122">_xlfn.XLOOKUP(DATEVALUE(A122),'Week Lookup Table'!A:A,'Week Lookup Table'!B:B)</f>
        <v>#VALUE!</v>
      </c>
      <c r="L122" s="1">
        <f>'Game Lines'!L127</f>
        <v>0</v>
      </c>
    </row>
    <row r="123" spans="1:12" ht="13" x14ac:dyDescent="0.15">
      <c r="A123" s="5">
        <f>'Game Lines'!A128</f>
        <v>0</v>
      </c>
      <c r="B123" s="1">
        <f>'Game Lines'!B128</f>
        <v>0</v>
      </c>
      <c r="C123" s="1">
        <f>'Game Lines'!C128</f>
        <v>0</v>
      </c>
      <c r="D123" s="1">
        <f>'Game Lines'!D128</f>
        <v>0</v>
      </c>
      <c r="E123" s="1">
        <f>'Game Lines'!E128</f>
        <v>0</v>
      </c>
      <c r="F123" s="1">
        <f>'Game Lines'!F128</f>
        <v>0</v>
      </c>
      <c r="G123" s="1">
        <f>'Game Lines'!G128</f>
        <v>0</v>
      </c>
      <c r="H123" s="1">
        <f>'Game Lines'!H128</f>
        <v>0</v>
      </c>
      <c r="I123" s="1">
        <f>'Game Lines'!I128</f>
        <v>0</v>
      </c>
      <c r="J123" s="5">
        <f>'Game Lines'!J128</f>
        <v>0</v>
      </c>
      <c r="K123" s="1" t="e">
        <f t="array" ref="K123">_xlfn.XLOOKUP(DATEVALUE(A123),'Week Lookup Table'!A:A,'Week Lookup Table'!B:B)</f>
        <v>#VALUE!</v>
      </c>
      <c r="L123" s="1">
        <f>'Game Lines'!L128</f>
        <v>0</v>
      </c>
    </row>
    <row r="124" spans="1:12" ht="13" x14ac:dyDescent="0.15">
      <c r="A124" s="5">
        <f>'Game Lines'!A129</f>
        <v>0</v>
      </c>
      <c r="B124" s="1">
        <f>'Game Lines'!B129</f>
        <v>0</v>
      </c>
      <c r="C124" s="1">
        <f>'Game Lines'!C129</f>
        <v>0</v>
      </c>
      <c r="D124" s="1">
        <f>'Game Lines'!D129</f>
        <v>0</v>
      </c>
      <c r="E124" s="1">
        <f>'Game Lines'!E129</f>
        <v>0</v>
      </c>
      <c r="F124" s="1">
        <f>'Game Lines'!F129</f>
        <v>0</v>
      </c>
      <c r="G124" s="1">
        <f>'Game Lines'!G129</f>
        <v>0</v>
      </c>
      <c r="H124" s="1">
        <f>'Game Lines'!H129</f>
        <v>0</v>
      </c>
      <c r="I124" s="1">
        <f>'Game Lines'!I129</f>
        <v>0</v>
      </c>
      <c r="J124" s="5">
        <f>'Game Lines'!J129</f>
        <v>0</v>
      </c>
      <c r="K124" s="1" t="e">
        <f t="array" ref="K124">_xlfn.XLOOKUP(DATEVALUE(A124),'Week Lookup Table'!A:A,'Week Lookup Table'!B:B)</f>
        <v>#VALUE!</v>
      </c>
      <c r="L124" s="1">
        <f>'Game Lines'!L129</f>
        <v>0</v>
      </c>
    </row>
    <row r="125" spans="1:12" ht="13" x14ac:dyDescent="0.15">
      <c r="A125" s="5">
        <f>'Game Lines'!A130</f>
        <v>0</v>
      </c>
      <c r="B125" s="1">
        <f>'Game Lines'!B130</f>
        <v>0</v>
      </c>
      <c r="C125" s="1">
        <f>'Game Lines'!C130</f>
        <v>0</v>
      </c>
      <c r="D125" s="1">
        <f>'Game Lines'!D130</f>
        <v>0</v>
      </c>
      <c r="E125" s="1">
        <f>'Game Lines'!E130</f>
        <v>0</v>
      </c>
      <c r="F125" s="1">
        <f>'Game Lines'!F130</f>
        <v>0</v>
      </c>
      <c r="G125" s="1">
        <f>'Game Lines'!G130</f>
        <v>0</v>
      </c>
      <c r="H125" s="1">
        <f>'Game Lines'!H130</f>
        <v>0</v>
      </c>
      <c r="I125" s="1">
        <f>'Game Lines'!I130</f>
        <v>0</v>
      </c>
      <c r="J125" s="5">
        <f>'Game Lines'!J130</f>
        <v>0</v>
      </c>
      <c r="K125" s="1" t="e">
        <f t="array" ref="K125">_xlfn.XLOOKUP(DATEVALUE(A125),'Week Lookup Table'!A:A,'Week Lookup Table'!B:B)</f>
        <v>#VALUE!</v>
      </c>
      <c r="L125" s="1">
        <f>'Game Lines'!L130</f>
        <v>0</v>
      </c>
    </row>
    <row r="126" spans="1:12" ht="13" x14ac:dyDescent="0.15">
      <c r="A126" s="5">
        <f>'Game Lines'!A131</f>
        <v>0</v>
      </c>
      <c r="B126" s="1">
        <f>'Game Lines'!B131</f>
        <v>0</v>
      </c>
      <c r="C126" s="1">
        <f>'Game Lines'!C131</f>
        <v>0</v>
      </c>
      <c r="D126" s="1">
        <f>'Game Lines'!D131</f>
        <v>0</v>
      </c>
      <c r="E126" s="1">
        <f>'Game Lines'!E131</f>
        <v>0</v>
      </c>
      <c r="F126" s="1">
        <f>'Game Lines'!F131</f>
        <v>0</v>
      </c>
      <c r="G126" s="1">
        <f>'Game Lines'!G131</f>
        <v>0</v>
      </c>
      <c r="H126" s="1">
        <f>'Game Lines'!H131</f>
        <v>0</v>
      </c>
      <c r="I126" s="1">
        <f>'Game Lines'!I131</f>
        <v>0</v>
      </c>
      <c r="J126" s="5">
        <f>'Game Lines'!J131</f>
        <v>0</v>
      </c>
      <c r="K126" s="1" t="e">
        <f t="array" ref="K126">_xlfn.XLOOKUP(DATEVALUE(A126),'Week Lookup Table'!A:A,'Week Lookup Table'!B:B)</f>
        <v>#VALUE!</v>
      </c>
      <c r="L126" s="1">
        <f>'Game Lines'!L131</f>
        <v>0</v>
      </c>
    </row>
    <row r="127" spans="1:12" ht="13" x14ac:dyDescent="0.15">
      <c r="A127" s="5">
        <f>'Game Lines'!A132</f>
        <v>0</v>
      </c>
      <c r="B127" s="1">
        <f>'Game Lines'!B132</f>
        <v>0</v>
      </c>
      <c r="C127" s="1">
        <f>'Game Lines'!C132</f>
        <v>0</v>
      </c>
      <c r="D127" s="1">
        <f>'Game Lines'!D132</f>
        <v>0</v>
      </c>
      <c r="E127" s="1">
        <f>'Game Lines'!E132</f>
        <v>0</v>
      </c>
      <c r="F127" s="1">
        <f>'Game Lines'!F132</f>
        <v>0</v>
      </c>
      <c r="G127" s="1">
        <f>'Game Lines'!G132</f>
        <v>0</v>
      </c>
      <c r="H127" s="1">
        <f>'Game Lines'!H132</f>
        <v>0</v>
      </c>
      <c r="I127" s="1">
        <f>'Game Lines'!I132</f>
        <v>0</v>
      </c>
      <c r="J127" s="5">
        <f>'Game Lines'!J132</f>
        <v>0</v>
      </c>
      <c r="K127" s="1" t="e">
        <f t="array" ref="K127">_xlfn.XLOOKUP(DATEVALUE(A127),'Week Lookup Table'!A:A,'Week Lookup Table'!B:B)</f>
        <v>#VALUE!</v>
      </c>
      <c r="L127" s="1">
        <f>'Game Lines'!L132</f>
        <v>0</v>
      </c>
    </row>
    <row r="128" spans="1:12" ht="13" x14ac:dyDescent="0.15">
      <c r="A128" s="5">
        <f>'Game Lines'!A133</f>
        <v>0</v>
      </c>
      <c r="B128" s="1">
        <f>'Game Lines'!B133</f>
        <v>0</v>
      </c>
      <c r="C128" s="1">
        <f>'Game Lines'!C133</f>
        <v>0</v>
      </c>
      <c r="D128" s="1">
        <f>'Game Lines'!D133</f>
        <v>0</v>
      </c>
      <c r="E128" s="1">
        <f>'Game Lines'!E133</f>
        <v>0</v>
      </c>
      <c r="F128" s="1">
        <f>'Game Lines'!F133</f>
        <v>0</v>
      </c>
      <c r="G128" s="1">
        <f>'Game Lines'!G133</f>
        <v>0</v>
      </c>
      <c r="H128" s="1">
        <f>'Game Lines'!H133</f>
        <v>0</v>
      </c>
      <c r="I128" s="1">
        <f>'Game Lines'!I133</f>
        <v>0</v>
      </c>
      <c r="J128" s="5">
        <f>'Game Lines'!J133</f>
        <v>0</v>
      </c>
      <c r="K128" s="1" t="e">
        <f t="array" ref="K128">_xlfn.XLOOKUP(DATEVALUE(A128),'Week Lookup Table'!A:A,'Week Lookup Table'!B:B)</f>
        <v>#VALUE!</v>
      </c>
      <c r="L128" s="1">
        <f>'Game Lines'!L133</f>
        <v>0</v>
      </c>
    </row>
    <row r="129" spans="1:12" ht="13" x14ac:dyDescent="0.15">
      <c r="A129" s="5">
        <f>'Game Lines'!A134</f>
        <v>0</v>
      </c>
      <c r="B129" s="1">
        <f>'Game Lines'!B134</f>
        <v>0</v>
      </c>
      <c r="C129" s="1">
        <f>'Game Lines'!C134</f>
        <v>0</v>
      </c>
      <c r="D129" s="1">
        <f>'Game Lines'!D134</f>
        <v>0</v>
      </c>
      <c r="E129" s="1">
        <f>'Game Lines'!E134</f>
        <v>0</v>
      </c>
      <c r="F129" s="1">
        <f>'Game Lines'!F134</f>
        <v>0</v>
      </c>
      <c r="G129" s="1">
        <f>'Game Lines'!G134</f>
        <v>0</v>
      </c>
      <c r="H129" s="1">
        <f>'Game Lines'!H134</f>
        <v>0</v>
      </c>
      <c r="I129" s="1">
        <f>'Game Lines'!I134</f>
        <v>0</v>
      </c>
      <c r="J129" s="5">
        <f>'Game Lines'!J134</f>
        <v>0</v>
      </c>
      <c r="K129" s="1" t="e">
        <f t="array" ref="K129">_xlfn.XLOOKUP(DATEVALUE(A129),'Week Lookup Table'!A:A,'Week Lookup Table'!B:B)</f>
        <v>#VALUE!</v>
      </c>
      <c r="L129" s="1">
        <f>'Game Lines'!L134</f>
        <v>0</v>
      </c>
    </row>
    <row r="130" spans="1:12" ht="13" x14ac:dyDescent="0.15">
      <c r="A130" s="5">
        <f>'Game Lines'!A135</f>
        <v>0</v>
      </c>
      <c r="B130" s="1">
        <f>'Game Lines'!B135</f>
        <v>0</v>
      </c>
      <c r="C130" s="1">
        <f>'Game Lines'!C135</f>
        <v>0</v>
      </c>
      <c r="D130" s="1">
        <f>'Game Lines'!D135</f>
        <v>0</v>
      </c>
      <c r="E130" s="1">
        <f>'Game Lines'!E135</f>
        <v>0</v>
      </c>
      <c r="F130" s="1">
        <f>'Game Lines'!F135</f>
        <v>0</v>
      </c>
      <c r="G130" s="1">
        <f>'Game Lines'!G135</f>
        <v>0</v>
      </c>
      <c r="H130" s="1">
        <f>'Game Lines'!H135</f>
        <v>0</v>
      </c>
      <c r="I130" s="1">
        <f>'Game Lines'!I135</f>
        <v>0</v>
      </c>
      <c r="J130" s="5">
        <f>'Game Lines'!J135</f>
        <v>0</v>
      </c>
      <c r="K130" s="1" t="e">
        <f t="array" ref="K130">_xlfn.XLOOKUP(DATEVALUE(A130),'Week Lookup Table'!A:A,'Week Lookup Table'!B:B)</f>
        <v>#VALUE!</v>
      </c>
      <c r="L130" s="1">
        <f>'Game Lines'!L135</f>
        <v>0</v>
      </c>
    </row>
    <row r="131" spans="1:12" ht="13" x14ac:dyDescent="0.15">
      <c r="A131" s="5">
        <f>'Game Lines'!A136</f>
        <v>0</v>
      </c>
      <c r="B131" s="1">
        <f>'Game Lines'!B136</f>
        <v>0</v>
      </c>
      <c r="C131" s="1">
        <f>'Game Lines'!C136</f>
        <v>0</v>
      </c>
      <c r="D131" s="1">
        <f>'Game Lines'!D136</f>
        <v>0</v>
      </c>
      <c r="E131" s="1">
        <f>'Game Lines'!E136</f>
        <v>0</v>
      </c>
      <c r="F131" s="1">
        <f>'Game Lines'!F136</f>
        <v>0</v>
      </c>
      <c r="G131" s="1">
        <f>'Game Lines'!G136</f>
        <v>0</v>
      </c>
      <c r="H131" s="1">
        <f>'Game Lines'!H136</f>
        <v>0</v>
      </c>
      <c r="I131" s="1">
        <f>'Game Lines'!I136</f>
        <v>0</v>
      </c>
      <c r="J131" s="5">
        <f>'Game Lines'!J136</f>
        <v>0</v>
      </c>
      <c r="K131" s="1" t="e">
        <f t="array" ref="K131">_xlfn.XLOOKUP(DATEVALUE(A131),'Week Lookup Table'!A:A,'Week Lookup Table'!B:B)</f>
        <v>#VALUE!</v>
      </c>
      <c r="L131" s="1">
        <f>'Game Lines'!L136</f>
        <v>0</v>
      </c>
    </row>
    <row r="132" spans="1:12" ht="13" x14ac:dyDescent="0.15">
      <c r="A132" s="5">
        <f>'Game Lines'!A137</f>
        <v>0</v>
      </c>
      <c r="B132" s="1">
        <f>'Game Lines'!B137</f>
        <v>0</v>
      </c>
      <c r="C132" s="1">
        <f>'Game Lines'!C137</f>
        <v>0</v>
      </c>
      <c r="D132" s="1">
        <f>'Game Lines'!D137</f>
        <v>0</v>
      </c>
      <c r="E132" s="1">
        <f>'Game Lines'!E137</f>
        <v>0</v>
      </c>
      <c r="F132" s="1">
        <f>'Game Lines'!F137</f>
        <v>0</v>
      </c>
      <c r="G132" s="1">
        <f>'Game Lines'!G137</f>
        <v>0</v>
      </c>
      <c r="H132" s="1">
        <f>'Game Lines'!H137</f>
        <v>0</v>
      </c>
      <c r="I132" s="1">
        <f>'Game Lines'!I137</f>
        <v>0</v>
      </c>
      <c r="J132" s="5">
        <f>'Game Lines'!J137</f>
        <v>0</v>
      </c>
      <c r="K132" s="1" t="e">
        <f t="array" ref="K132">_xlfn.XLOOKUP(DATEVALUE(A132),'Week Lookup Table'!A:A,'Week Lookup Table'!B:B)</f>
        <v>#VALUE!</v>
      </c>
      <c r="L132" s="1">
        <f>'Game Lines'!L137</f>
        <v>0</v>
      </c>
    </row>
    <row r="133" spans="1:12" ht="13" x14ac:dyDescent="0.15">
      <c r="A133" s="5">
        <f>'Game Lines'!A138</f>
        <v>0</v>
      </c>
      <c r="B133" s="1">
        <f>'Game Lines'!B138</f>
        <v>0</v>
      </c>
      <c r="C133" s="1">
        <f>'Game Lines'!C138</f>
        <v>0</v>
      </c>
      <c r="D133" s="1">
        <f>'Game Lines'!D138</f>
        <v>0</v>
      </c>
      <c r="E133" s="1">
        <f>'Game Lines'!E138</f>
        <v>0</v>
      </c>
      <c r="F133" s="1">
        <f>'Game Lines'!F138</f>
        <v>0</v>
      </c>
      <c r="G133" s="1">
        <f>'Game Lines'!G138</f>
        <v>0</v>
      </c>
      <c r="H133" s="1">
        <f>'Game Lines'!H138</f>
        <v>0</v>
      </c>
      <c r="I133" s="1">
        <f>'Game Lines'!I138</f>
        <v>0</v>
      </c>
      <c r="J133" s="5">
        <f>'Game Lines'!J138</f>
        <v>0</v>
      </c>
      <c r="K133" s="1" t="e">
        <f t="array" ref="K133">_xlfn.XLOOKUP(DATEVALUE(A133),'Week Lookup Table'!A:A,'Week Lookup Table'!B:B)</f>
        <v>#VALUE!</v>
      </c>
      <c r="L133" s="1">
        <f>'Game Lines'!L138</f>
        <v>0</v>
      </c>
    </row>
    <row r="134" spans="1:12" ht="13" x14ac:dyDescent="0.15">
      <c r="A134" s="5">
        <f>'Game Lines'!A139</f>
        <v>0</v>
      </c>
      <c r="B134" s="1">
        <f>'Game Lines'!B139</f>
        <v>0</v>
      </c>
      <c r="C134" s="1">
        <f>'Game Lines'!C139</f>
        <v>0</v>
      </c>
      <c r="D134" s="1">
        <f>'Game Lines'!D139</f>
        <v>0</v>
      </c>
      <c r="E134" s="1">
        <f>'Game Lines'!E139</f>
        <v>0</v>
      </c>
      <c r="F134" s="1">
        <f>'Game Lines'!F139</f>
        <v>0</v>
      </c>
      <c r="G134" s="1">
        <f>'Game Lines'!G139</f>
        <v>0</v>
      </c>
      <c r="H134" s="1">
        <f>'Game Lines'!H139</f>
        <v>0</v>
      </c>
      <c r="I134" s="1">
        <f>'Game Lines'!I139</f>
        <v>0</v>
      </c>
      <c r="J134" s="5">
        <f>'Game Lines'!J139</f>
        <v>0</v>
      </c>
      <c r="K134" s="1" t="e">
        <f t="array" ref="K134">_xlfn.XLOOKUP(DATEVALUE(A134),'Week Lookup Table'!A:A,'Week Lookup Table'!B:B)</f>
        <v>#VALUE!</v>
      </c>
      <c r="L134" s="1">
        <f>'Game Lines'!L139</f>
        <v>0</v>
      </c>
    </row>
    <row r="135" spans="1:12" ht="13" x14ac:dyDescent="0.15">
      <c r="A135" s="5">
        <f>'Game Lines'!A140</f>
        <v>0</v>
      </c>
      <c r="B135" s="1">
        <f>'Game Lines'!B140</f>
        <v>0</v>
      </c>
      <c r="C135" s="1">
        <f>'Game Lines'!C140</f>
        <v>0</v>
      </c>
      <c r="D135" s="1">
        <f>'Game Lines'!D140</f>
        <v>0</v>
      </c>
      <c r="E135" s="1">
        <f>'Game Lines'!E140</f>
        <v>0</v>
      </c>
      <c r="F135" s="1">
        <f>'Game Lines'!F140</f>
        <v>0</v>
      </c>
      <c r="G135" s="1">
        <f>'Game Lines'!G140</f>
        <v>0</v>
      </c>
      <c r="H135" s="1">
        <f>'Game Lines'!H140</f>
        <v>0</v>
      </c>
      <c r="I135" s="1">
        <f>'Game Lines'!I140</f>
        <v>0</v>
      </c>
      <c r="J135" s="5">
        <f>'Game Lines'!J140</f>
        <v>0</v>
      </c>
      <c r="K135" s="1" t="e">
        <f t="array" ref="K135">_xlfn.XLOOKUP(DATEVALUE(A135),'Week Lookup Table'!A:A,'Week Lookup Table'!B:B)</f>
        <v>#VALUE!</v>
      </c>
      <c r="L135" s="1">
        <f>'Game Lines'!L140</f>
        <v>0</v>
      </c>
    </row>
    <row r="136" spans="1:12" ht="13" x14ac:dyDescent="0.15">
      <c r="A136" s="5">
        <f>'Game Lines'!A141</f>
        <v>0</v>
      </c>
      <c r="B136" s="1">
        <f>'Game Lines'!B141</f>
        <v>0</v>
      </c>
      <c r="C136" s="1">
        <f>'Game Lines'!C141</f>
        <v>0</v>
      </c>
      <c r="D136" s="1">
        <f>'Game Lines'!D141</f>
        <v>0</v>
      </c>
      <c r="E136" s="1">
        <f>'Game Lines'!E141</f>
        <v>0</v>
      </c>
      <c r="F136" s="1">
        <f>'Game Lines'!F141</f>
        <v>0</v>
      </c>
      <c r="G136" s="1">
        <f>'Game Lines'!G141</f>
        <v>0</v>
      </c>
      <c r="H136" s="1">
        <f>'Game Lines'!H141</f>
        <v>0</v>
      </c>
      <c r="I136" s="1">
        <f>'Game Lines'!I141</f>
        <v>0</v>
      </c>
      <c r="J136" s="5">
        <f>'Game Lines'!J141</f>
        <v>0</v>
      </c>
      <c r="K136" s="1" t="e">
        <f t="array" ref="K136">_xlfn.XLOOKUP(DATEVALUE(A136),'Week Lookup Table'!A:A,'Week Lookup Table'!B:B)</f>
        <v>#VALUE!</v>
      </c>
      <c r="L136" s="1">
        <f>'Game Lines'!L141</f>
        <v>0</v>
      </c>
    </row>
    <row r="137" spans="1:12" ht="13" x14ac:dyDescent="0.15">
      <c r="A137" s="5">
        <f>'Game Lines'!A142</f>
        <v>0</v>
      </c>
      <c r="B137" s="1">
        <f>'Game Lines'!B142</f>
        <v>0</v>
      </c>
      <c r="C137" s="1">
        <f>'Game Lines'!C142</f>
        <v>0</v>
      </c>
      <c r="D137" s="1">
        <f>'Game Lines'!D142</f>
        <v>0</v>
      </c>
      <c r="E137" s="1">
        <f>'Game Lines'!E142</f>
        <v>0</v>
      </c>
      <c r="F137" s="1">
        <f>'Game Lines'!F142</f>
        <v>0</v>
      </c>
      <c r="G137" s="1">
        <f>'Game Lines'!G142</f>
        <v>0</v>
      </c>
      <c r="H137" s="1">
        <f>'Game Lines'!H142</f>
        <v>0</v>
      </c>
      <c r="I137" s="1">
        <f>'Game Lines'!I142</f>
        <v>0</v>
      </c>
      <c r="J137" s="5">
        <f>'Game Lines'!J142</f>
        <v>0</v>
      </c>
      <c r="K137" s="1" t="e">
        <f t="array" ref="K137">_xlfn.XLOOKUP(DATEVALUE(A137),'Week Lookup Table'!A:A,'Week Lookup Table'!B:B)</f>
        <v>#VALUE!</v>
      </c>
      <c r="L137" s="1">
        <f>'Game Lines'!L142</f>
        <v>0</v>
      </c>
    </row>
    <row r="138" spans="1:12" ht="13" x14ac:dyDescent="0.15">
      <c r="A138" s="5">
        <f>'Game Lines'!A143</f>
        <v>0</v>
      </c>
      <c r="B138" s="1">
        <f>'Game Lines'!B143</f>
        <v>0</v>
      </c>
      <c r="C138" s="1">
        <f>'Game Lines'!C143</f>
        <v>0</v>
      </c>
      <c r="D138" s="1">
        <f>'Game Lines'!D143</f>
        <v>0</v>
      </c>
      <c r="E138" s="1">
        <f>'Game Lines'!E143</f>
        <v>0</v>
      </c>
      <c r="F138" s="1">
        <f>'Game Lines'!F143</f>
        <v>0</v>
      </c>
      <c r="G138" s="1">
        <f>'Game Lines'!G143</f>
        <v>0</v>
      </c>
      <c r="H138" s="1">
        <f>'Game Lines'!H143</f>
        <v>0</v>
      </c>
      <c r="I138" s="1">
        <f>'Game Lines'!I143</f>
        <v>0</v>
      </c>
      <c r="J138" s="5">
        <f>'Game Lines'!J143</f>
        <v>0</v>
      </c>
      <c r="K138" s="1" t="e">
        <f t="array" ref="K138">_xlfn.XLOOKUP(DATEVALUE(A138),'Week Lookup Table'!A:A,'Week Lookup Table'!B:B)</f>
        <v>#VALUE!</v>
      </c>
      <c r="L138" s="1">
        <f>'Game Lines'!L143</f>
        <v>0</v>
      </c>
    </row>
    <row r="139" spans="1:12" ht="13" x14ac:dyDescent="0.15">
      <c r="A139" s="5">
        <f>'Game Lines'!A144</f>
        <v>0</v>
      </c>
      <c r="B139" s="1">
        <f>'Game Lines'!B144</f>
        <v>0</v>
      </c>
      <c r="C139" s="1">
        <f>'Game Lines'!C144</f>
        <v>0</v>
      </c>
      <c r="D139" s="1">
        <f>'Game Lines'!D144</f>
        <v>0</v>
      </c>
      <c r="E139" s="1">
        <f>'Game Lines'!E144</f>
        <v>0</v>
      </c>
      <c r="F139" s="1">
        <f>'Game Lines'!F144</f>
        <v>0</v>
      </c>
      <c r="G139" s="1">
        <f>'Game Lines'!G144</f>
        <v>0</v>
      </c>
      <c r="H139" s="1">
        <f>'Game Lines'!H144</f>
        <v>0</v>
      </c>
      <c r="I139" s="1">
        <f>'Game Lines'!I144</f>
        <v>0</v>
      </c>
      <c r="J139" s="5">
        <f>'Game Lines'!J144</f>
        <v>0</v>
      </c>
      <c r="K139" s="1" t="e">
        <f t="array" ref="K139">_xlfn.XLOOKUP(DATEVALUE(A139),'Week Lookup Table'!A:A,'Week Lookup Table'!B:B)</f>
        <v>#VALUE!</v>
      </c>
      <c r="L139" s="1">
        <f>'Game Lines'!L144</f>
        <v>0</v>
      </c>
    </row>
    <row r="140" spans="1:12" ht="13" x14ac:dyDescent="0.15">
      <c r="A140" s="5">
        <f>'Game Lines'!A145</f>
        <v>0</v>
      </c>
      <c r="B140" s="1">
        <f>'Game Lines'!B145</f>
        <v>0</v>
      </c>
      <c r="C140" s="1">
        <f>'Game Lines'!C145</f>
        <v>0</v>
      </c>
      <c r="D140" s="1">
        <f>'Game Lines'!D145</f>
        <v>0</v>
      </c>
      <c r="E140" s="1">
        <f>'Game Lines'!E145</f>
        <v>0</v>
      </c>
      <c r="F140" s="1">
        <f>'Game Lines'!F145</f>
        <v>0</v>
      </c>
      <c r="G140" s="1">
        <f>'Game Lines'!G145</f>
        <v>0</v>
      </c>
      <c r="H140" s="1">
        <f>'Game Lines'!H145</f>
        <v>0</v>
      </c>
      <c r="I140" s="1">
        <f>'Game Lines'!I145</f>
        <v>0</v>
      </c>
      <c r="J140" s="5">
        <f>'Game Lines'!J145</f>
        <v>0</v>
      </c>
      <c r="K140" s="1" t="e">
        <f t="array" ref="K140">_xlfn.XLOOKUP(DATEVALUE(A140),'Week Lookup Table'!A:A,'Week Lookup Table'!B:B)</f>
        <v>#VALUE!</v>
      </c>
      <c r="L140" s="1">
        <f>'Game Lines'!L145</f>
        <v>0</v>
      </c>
    </row>
    <row r="141" spans="1:12" ht="13" x14ac:dyDescent="0.15">
      <c r="A141" s="5">
        <f>'Game Lines'!A146</f>
        <v>0</v>
      </c>
      <c r="B141" s="1">
        <f>'Game Lines'!B146</f>
        <v>0</v>
      </c>
      <c r="C141" s="1">
        <f>'Game Lines'!C146</f>
        <v>0</v>
      </c>
      <c r="D141" s="1">
        <f>'Game Lines'!D146</f>
        <v>0</v>
      </c>
      <c r="E141" s="1">
        <f>'Game Lines'!E146</f>
        <v>0</v>
      </c>
      <c r="F141" s="1">
        <f>'Game Lines'!F146</f>
        <v>0</v>
      </c>
      <c r="G141" s="1">
        <f>'Game Lines'!G146</f>
        <v>0</v>
      </c>
      <c r="H141" s="1">
        <f>'Game Lines'!H146</f>
        <v>0</v>
      </c>
      <c r="I141" s="1">
        <f>'Game Lines'!I146</f>
        <v>0</v>
      </c>
      <c r="J141" s="5">
        <f>'Game Lines'!J146</f>
        <v>0</v>
      </c>
      <c r="K141" s="1" t="e">
        <f t="array" ref="K141">_xlfn.XLOOKUP(DATEVALUE(A141),'Week Lookup Table'!A:A,'Week Lookup Table'!B:B)</f>
        <v>#VALUE!</v>
      </c>
      <c r="L141" s="1">
        <f>'Game Lines'!L146</f>
        <v>0</v>
      </c>
    </row>
    <row r="142" spans="1:12" ht="13" x14ac:dyDescent="0.15">
      <c r="A142" s="5">
        <f>'Game Lines'!A147</f>
        <v>0</v>
      </c>
      <c r="B142" s="1">
        <f>'Game Lines'!B147</f>
        <v>0</v>
      </c>
      <c r="C142" s="1">
        <f>'Game Lines'!C147</f>
        <v>0</v>
      </c>
      <c r="D142" s="1">
        <f>'Game Lines'!D147</f>
        <v>0</v>
      </c>
      <c r="E142" s="1">
        <f>'Game Lines'!E147</f>
        <v>0</v>
      </c>
      <c r="F142" s="1">
        <f>'Game Lines'!F147</f>
        <v>0</v>
      </c>
      <c r="G142" s="1">
        <f>'Game Lines'!G147</f>
        <v>0</v>
      </c>
      <c r="H142" s="1">
        <f>'Game Lines'!H147</f>
        <v>0</v>
      </c>
      <c r="I142" s="1">
        <f>'Game Lines'!I147</f>
        <v>0</v>
      </c>
      <c r="J142" s="5">
        <f>'Game Lines'!J147</f>
        <v>0</v>
      </c>
      <c r="K142" s="1" t="e">
        <f t="array" ref="K142">_xlfn.XLOOKUP(DATEVALUE(A142),'Week Lookup Table'!A:A,'Week Lookup Table'!B:B)</f>
        <v>#VALUE!</v>
      </c>
      <c r="L142" s="1">
        <f>'Game Lines'!L147</f>
        <v>0</v>
      </c>
    </row>
    <row r="143" spans="1:12" ht="13" x14ac:dyDescent="0.15">
      <c r="A143" s="5">
        <f>'Game Lines'!A148</f>
        <v>0</v>
      </c>
      <c r="B143" s="1">
        <f>'Game Lines'!B148</f>
        <v>0</v>
      </c>
      <c r="C143" s="1">
        <f>'Game Lines'!C148</f>
        <v>0</v>
      </c>
      <c r="D143" s="1">
        <f>'Game Lines'!D148</f>
        <v>0</v>
      </c>
      <c r="E143" s="1">
        <f>'Game Lines'!E148</f>
        <v>0</v>
      </c>
      <c r="F143" s="1">
        <f>'Game Lines'!F148</f>
        <v>0</v>
      </c>
      <c r="G143" s="1">
        <f>'Game Lines'!G148</f>
        <v>0</v>
      </c>
      <c r="H143" s="1">
        <f>'Game Lines'!H148</f>
        <v>0</v>
      </c>
      <c r="I143" s="1">
        <f>'Game Lines'!I148</f>
        <v>0</v>
      </c>
      <c r="J143" s="5">
        <f>'Game Lines'!J148</f>
        <v>0</v>
      </c>
      <c r="K143" s="1" t="e">
        <f t="array" ref="K143">_xlfn.XLOOKUP(DATEVALUE(A143),'Week Lookup Table'!A:A,'Week Lookup Table'!B:B)</f>
        <v>#VALUE!</v>
      </c>
      <c r="L143" s="1">
        <f>'Game Lines'!L148</f>
        <v>0</v>
      </c>
    </row>
    <row r="144" spans="1:12" ht="13" x14ac:dyDescent="0.15">
      <c r="A144" s="5">
        <f>'Game Lines'!A149</f>
        <v>0</v>
      </c>
      <c r="B144" s="1">
        <f>'Game Lines'!B149</f>
        <v>0</v>
      </c>
      <c r="C144" s="1">
        <f>'Game Lines'!C149</f>
        <v>0</v>
      </c>
      <c r="D144" s="1">
        <f>'Game Lines'!D149</f>
        <v>0</v>
      </c>
      <c r="E144" s="1">
        <f>'Game Lines'!E149</f>
        <v>0</v>
      </c>
      <c r="F144" s="1">
        <f>'Game Lines'!F149</f>
        <v>0</v>
      </c>
      <c r="G144" s="1">
        <f>'Game Lines'!G149</f>
        <v>0</v>
      </c>
      <c r="H144" s="1">
        <f>'Game Lines'!H149</f>
        <v>0</v>
      </c>
      <c r="I144" s="1">
        <f>'Game Lines'!I149</f>
        <v>0</v>
      </c>
      <c r="J144" s="5">
        <f>'Game Lines'!J149</f>
        <v>0</v>
      </c>
      <c r="K144" s="1" t="e">
        <f t="array" ref="K144">_xlfn.XLOOKUP(DATEVALUE(A144),'Week Lookup Table'!A:A,'Week Lookup Table'!B:B)</f>
        <v>#VALUE!</v>
      </c>
      <c r="L144" s="1">
        <f>'Game Lines'!L149</f>
        <v>0</v>
      </c>
    </row>
    <row r="145" spans="1:12" ht="13" x14ac:dyDescent="0.15">
      <c r="A145" s="5">
        <f>'Game Lines'!A150</f>
        <v>0</v>
      </c>
      <c r="B145" s="1">
        <f>'Game Lines'!B150</f>
        <v>0</v>
      </c>
      <c r="C145" s="1">
        <f>'Game Lines'!C150</f>
        <v>0</v>
      </c>
      <c r="D145" s="1">
        <f>'Game Lines'!D150</f>
        <v>0</v>
      </c>
      <c r="E145" s="1">
        <f>'Game Lines'!E150</f>
        <v>0</v>
      </c>
      <c r="F145" s="1">
        <f>'Game Lines'!F150</f>
        <v>0</v>
      </c>
      <c r="G145" s="1">
        <f>'Game Lines'!G150</f>
        <v>0</v>
      </c>
      <c r="H145" s="1">
        <f>'Game Lines'!H150</f>
        <v>0</v>
      </c>
      <c r="I145" s="1">
        <f>'Game Lines'!I150</f>
        <v>0</v>
      </c>
      <c r="J145" s="5">
        <f>'Game Lines'!J150</f>
        <v>0</v>
      </c>
      <c r="K145" s="1" t="e">
        <f t="array" ref="K145">_xlfn.XLOOKUP(DATEVALUE(A145),'Week Lookup Table'!A:A,'Week Lookup Table'!B:B)</f>
        <v>#VALUE!</v>
      </c>
      <c r="L145" s="1">
        <f>'Game Lines'!L150</f>
        <v>0</v>
      </c>
    </row>
    <row r="146" spans="1:12" ht="13" x14ac:dyDescent="0.15">
      <c r="A146" s="5">
        <f>'Game Lines'!A151</f>
        <v>0</v>
      </c>
      <c r="B146" s="1">
        <f>'Game Lines'!B151</f>
        <v>0</v>
      </c>
      <c r="C146" s="1">
        <f>'Game Lines'!C151</f>
        <v>0</v>
      </c>
      <c r="D146" s="1">
        <f>'Game Lines'!D151</f>
        <v>0</v>
      </c>
      <c r="E146" s="1">
        <f>'Game Lines'!E151</f>
        <v>0</v>
      </c>
      <c r="F146" s="1">
        <f>'Game Lines'!F151</f>
        <v>0</v>
      </c>
      <c r="G146" s="1">
        <f>'Game Lines'!G151</f>
        <v>0</v>
      </c>
      <c r="H146" s="1">
        <f>'Game Lines'!H151</f>
        <v>0</v>
      </c>
      <c r="I146" s="1">
        <f>'Game Lines'!I151</f>
        <v>0</v>
      </c>
      <c r="J146" s="5">
        <f>'Game Lines'!J151</f>
        <v>0</v>
      </c>
      <c r="K146" s="1" t="e">
        <f t="array" ref="K146">_xlfn.XLOOKUP(DATEVALUE(A146),'Week Lookup Table'!A:A,'Week Lookup Table'!B:B)</f>
        <v>#VALUE!</v>
      </c>
      <c r="L146" s="1">
        <f>'Game Lines'!L151</f>
        <v>0</v>
      </c>
    </row>
    <row r="147" spans="1:12" ht="13" x14ac:dyDescent="0.15">
      <c r="A147" s="5">
        <f>'Game Lines'!A152</f>
        <v>0</v>
      </c>
      <c r="B147" s="1">
        <f>'Game Lines'!B152</f>
        <v>0</v>
      </c>
      <c r="C147" s="1">
        <f>'Game Lines'!C152</f>
        <v>0</v>
      </c>
      <c r="D147" s="1">
        <f>'Game Lines'!D152</f>
        <v>0</v>
      </c>
      <c r="E147" s="1">
        <f>'Game Lines'!E152</f>
        <v>0</v>
      </c>
      <c r="F147" s="1">
        <f>'Game Lines'!F152</f>
        <v>0</v>
      </c>
      <c r="G147" s="1">
        <f>'Game Lines'!G152</f>
        <v>0</v>
      </c>
      <c r="H147" s="1">
        <f>'Game Lines'!H152</f>
        <v>0</v>
      </c>
      <c r="I147" s="1">
        <f>'Game Lines'!I152</f>
        <v>0</v>
      </c>
      <c r="J147" s="5">
        <f>'Game Lines'!J152</f>
        <v>0</v>
      </c>
      <c r="K147" s="1" t="e">
        <f t="array" ref="K147">_xlfn.XLOOKUP(DATEVALUE(A147),'Week Lookup Table'!A:A,'Week Lookup Table'!B:B)</f>
        <v>#VALUE!</v>
      </c>
      <c r="L147" s="1">
        <f>'Game Lines'!L152</f>
        <v>0</v>
      </c>
    </row>
    <row r="148" spans="1:12" ht="13" x14ac:dyDescent="0.15">
      <c r="A148" s="5">
        <f>'Game Lines'!A153</f>
        <v>0</v>
      </c>
      <c r="B148" s="1">
        <f>'Game Lines'!B153</f>
        <v>0</v>
      </c>
      <c r="C148" s="1">
        <f>'Game Lines'!C153</f>
        <v>0</v>
      </c>
      <c r="D148" s="1">
        <f>'Game Lines'!D153</f>
        <v>0</v>
      </c>
      <c r="E148" s="1">
        <f>'Game Lines'!E153</f>
        <v>0</v>
      </c>
      <c r="F148" s="1">
        <f>'Game Lines'!F153</f>
        <v>0</v>
      </c>
      <c r="G148" s="1">
        <f>'Game Lines'!G153</f>
        <v>0</v>
      </c>
      <c r="H148" s="1">
        <f>'Game Lines'!H153</f>
        <v>0</v>
      </c>
      <c r="I148" s="1">
        <f>'Game Lines'!I153</f>
        <v>0</v>
      </c>
      <c r="J148" s="5">
        <f>'Game Lines'!J153</f>
        <v>0</v>
      </c>
      <c r="K148" s="1" t="e">
        <f t="array" ref="K148">_xlfn.XLOOKUP(DATEVALUE(A148),'Week Lookup Table'!A:A,'Week Lookup Table'!B:B)</f>
        <v>#VALUE!</v>
      </c>
      <c r="L148" s="1">
        <f>'Game Lines'!L153</f>
        <v>0</v>
      </c>
    </row>
    <row r="149" spans="1:12" ht="13" x14ac:dyDescent="0.15">
      <c r="A149" s="5">
        <f>'Game Lines'!A154</f>
        <v>0</v>
      </c>
      <c r="B149" s="1">
        <f>'Game Lines'!B154</f>
        <v>0</v>
      </c>
      <c r="C149" s="1">
        <f>'Game Lines'!C154</f>
        <v>0</v>
      </c>
      <c r="D149" s="1">
        <f>'Game Lines'!D154</f>
        <v>0</v>
      </c>
      <c r="E149" s="1">
        <f>'Game Lines'!E154</f>
        <v>0</v>
      </c>
      <c r="F149" s="1">
        <f>'Game Lines'!F154</f>
        <v>0</v>
      </c>
      <c r="G149" s="1">
        <f>'Game Lines'!G154</f>
        <v>0</v>
      </c>
      <c r="H149" s="1">
        <f>'Game Lines'!H154</f>
        <v>0</v>
      </c>
      <c r="I149" s="1">
        <f>'Game Lines'!I154</f>
        <v>0</v>
      </c>
      <c r="J149" s="5">
        <f>'Game Lines'!J154</f>
        <v>0</v>
      </c>
      <c r="K149" s="1" t="e">
        <f t="array" ref="K149">_xlfn.XLOOKUP(DATEVALUE(A149),'Week Lookup Table'!A:A,'Week Lookup Table'!B:B)</f>
        <v>#VALUE!</v>
      </c>
      <c r="L149" s="1">
        <f>'Game Lines'!L154</f>
        <v>0</v>
      </c>
    </row>
    <row r="150" spans="1:12" ht="13" x14ac:dyDescent="0.15">
      <c r="A150" s="5">
        <f>'Game Lines'!A155</f>
        <v>0</v>
      </c>
      <c r="B150" s="1">
        <f>'Game Lines'!B155</f>
        <v>0</v>
      </c>
      <c r="C150" s="1">
        <f>'Game Lines'!C155</f>
        <v>0</v>
      </c>
      <c r="D150" s="1">
        <f>'Game Lines'!D155</f>
        <v>0</v>
      </c>
      <c r="E150" s="1">
        <f>'Game Lines'!E155</f>
        <v>0</v>
      </c>
      <c r="F150" s="1">
        <f>'Game Lines'!F155</f>
        <v>0</v>
      </c>
      <c r="G150" s="1">
        <f>'Game Lines'!G155</f>
        <v>0</v>
      </c>
      <c r="H150" s="1">
        <f>'Game Lines'!H155</f>
        <v>0</v>
      </c>
      <c r="I150" s="1">
        <f>'Game Lines'!I155</f>
        <v>0</v>
      </c>
      <c r="J150" s="5">
        <f>'Game Lines'!J155</f>
        <v>0</v>
      </c>
      <c r="K150" s="1" t="e">
        <f t="array" ref="K150">_xlfn.XLOOKUP(DATEVALUE(A150),'Week Lookup Table'!A:A,'Week Lookup Table'!B:B)</f>
        <v>#VALUE!</v>
      </c>
      <c r="L150" s="1">
        <f>'Game Lines'!L155</f>
        <v>0</v>
      </c>
    </row>
    <row r="151" spans="1:12" ht="13" x14ac:dyDescent="0.15">
      <c r="A151" s="5">
        <f>'Game Lines'!A156</f>
        <v>0</v>
      </c>
      <c r="B151" s="1">
        <f>'Game Lines'!B156</f>
        <v>0</v>
      </c>
      <c r="C151" s="1">
        <f>'Game Lines'!C156</f>
        <v>0</v>
      </c>
      <c r="D151" s="1">
        <f>'Game Lines'!D156</f>
        <v>0</v>
      </c>
      <c r="E151" s="1">
        <f>'Game Lines'!E156</f>
        <v>0</v>
      </c>
      <c r="F151" s="1">
        <f>'Game Lines'!F156</f>
        <v>0</v>
      </c>
      <c r="G151" s="1">
        <f>'Game Lines'!G156</f>
        <v>0</v>
      </c>
      <c r="H151" s="1">
        <f>'Game Lines'!H156</f>
        <v>0</v>
      </c>
      <c r="I151" s="1">
        <f>'Game Lines'!I156</f>
        <v>0</v>
      </c>
      <c r="J151" s="5">
        <f>'Game Lines'!J156</f>
        <v>0</v>
      </c>
      <c r="K151" s="1" t="e">
        <f t="array" ref="K151">_xlfn.XLOOKUP(DATEVALUE(A151),'Week Lookup Table'!A:A,'Week Lookup Table'!B:B)</f>
        <v>#VALUE!</v>
      </c>
      <c r="L151" s="1">
        <f>'Game Lines'!L156</f>
        <v>0</v>
      </c>
    </row>
    <row r="152" spans="1:12" ht="13" x14ac:dyDescent="0.15">
      <c r="A152" s="5">
        <f>'Game Lines'!A157</f>
        <v>0</v>
      </c>
      <c r="B152" s="1">
        <f>'Game Lines'!B157</f>
        <v>0</v>
      </c>
      <c r="C152" s="1">
        <f>'Game Lines'!C157</f>
        <v>0</v>
      </c>
      <c r="D152" s="1">
        <f>'Game Lines'!D157</f>
        <v>0</v>
      </c>
      <c r="E152" s="1">
        <f>'Game Lines'!E157</f>
        <v>0</v>
      </c>
      <c r="F152" s="1">
        <f>'Game Lines'!F157</f>
        <v>0</v>
      </c>
      <c r="G152" s="1">
        <f>'Game Lines'!G157</f>
        <v>0</v>
      </c>
      <c r="H152" s="1">
        <f>'Game Lines'!H157</f>
        <v>0</v>
      </c>
      <c r="I152" s="1">
        <f>'Game Lines'!I157</f>
        <v>0</v>
      </c>
      <c r="J152" s="5">
        <f>'Game Lines'!J157</f>
        <v>0</v>
      </c>
      <c r="K152" s="1" t="e">
        <f t="array" ref="K152">_xlfn.XLOOKUP(DATEVALUE(A152),'Week Lookup Table'!A:A,'Week Lookup Table'!B:B)</f>
        <v>#VALUE!</v>
      </c>
      <c r="L152" s="1">
        <f>'Game Lines'!L157</f>
        <v>0</v>
      </c>
    </row>
    <row r="153" spans="1:12" ht="13" x14ac:dyDescent="0.15">
      <c r="A153" s="5">
        <f>'Game Lines'!A158</f>
        <v>0</v>
      </c>
      <c r="B153" s="1">
        <f>'Game Lines'!B158</f>
        <v>0</v>
      </c>
      <c r="C153" s="1">
        <f>'Game Lines'!C158</f>
        <v>0</v>
      </c>
      <c r="D153" s="1">
        <f>'Game Lines'!D158</f>
        <v>0</v>
      </c>
      <c r="E153" s="1">
        <f>'Game Lines'!E158</f>
        <v>0</v>
      </c>
      <c r="F153" s="1">
        <f>'Game Lines'!F158</f>
        <v>0</v>
      </c>
      <c r="G153" s="1">
        <f>'Game Lines'!G158</f>
        <v>0</v>
      </c>
      <c r="H153" s="1">
        <f>'Game Lines'!H158</f>
        <v>0</v>
      </c>
      <c r="I153" s="1">
        <f>'Game Lines'!I158</f>
        <v>0</v>
      </c>
      <c r="J153" s="5">
        <f>'Game Lines'!J158</f>
        <v>0</v>
      </c>
      <c r="K153" s="1" t="e">
        <f t="array" ref="K153">_xlfn.XLOOKUP(DATEVALUE(A153),'Week Lookup Table'!A:A,'Week Lookup Table'!B:B)</f>
        <v>#VALUE!</v>
      </c>
      <c r="L153" s="1">
        <f>'Game Lines'!L158</f>
        <v>0</v>
      </c>
    </row>
    <row r="154" spans="1:12" ht="13" x14ac:dyDescent="0.15">
      <c r="A154" s="5">
        <f>'Game Lines'!A159</f>
        <v>0</v>
      </c>
      <c r="B154" s="1">
        <f>'Game Lines'!B159</f>
        <v>0</v>
      </c>
      <c r="C154" s="1">
        <f>'Game Lines'!C159</f>
        <v>0</v>
      </c>
      <c r="D154" s="1">
        <f>'Game Lines'!D159</f>
        <v>0</v>
      </c>
      <c r="E154" s="1">
        <f>'Game Lines'!E159</f>
        <v>0</v>
      </c>
      <c r="F154" s="1">
        <f>'Game Lines'!F159</f>
        <v>0</v>
      </c>
      <c r="G154" s="1">
        <f>'Game Lines'!G159</f>
        <v>0</v>
      </c>
      <c r="H154" s="1">
        <f>'Game Lines'!H159</f>
        <v>0</v>
      </c>
      <c r="I154" s="1">
        <f>'Game Lines'!I159</f>
        <v>0</v>
      </c>
      <c r="J154" s="5">
        <f>'Game Lines'!J159</f>
        <v>0</v>
      </c>
      <c r="K154" s="1" t="e">
        <f t="array" ref="K154">_xlfn.XLOOKUP(DATEVALUE(A154),'Week Lookup Table'!A:A,'Week Lookup Table'!B:B)</f>
        <v>#VALUE!</v>
      </c>
      <c r="L154" s="1">
        <f>'Game Lines'!L159</f>
        <v>0</v>
      </c>
    </row>
    <row r="155" spans="1:12" ht="13" x14ac:dyDescent="0.15">
      <c r="A155" s="5">
        <f>'Game Lines'!A160</f>
        <v>0</v>
      </c>
      <c r="B155" s="1">
        <f>'Game Lines'!B160</f>
        <v>0</v>
      </c>
      <c r="C155" s="1">
        <f>'Game Lines'!C160</f>
        <v>0</v>
      </c>
      <c r="D155" s="1">
        <f>'Game Lines'!D160</f>
        <v>0</v>
      </c>
      <c r="E155" s="1">
        <f>'Game Lines'!E160</f>
        <v>0</v>
      </c>
      <c r="F155" s="1">
        <f>'Game Lines'!F160</f>
        <v>0</v>
      </c>
      <c r="G155" s="1">
        <f>'Game Lines'!G160</f>
        <v>0</v>
      </c>
      <c r="H155" s="1">
        <f>'Game Lines'!H160</f>
        <v>0</v>
      </c>
      <c r="I155" s="1">
        <f>'Game Lines'!I160</f>
        <v>0</v>
      </c>
      <c r="J155" s="5">
        <f>'Game Lines'!J160</f>
        <v>0</v>
      </c>
      <c r="K155" s="1" t="e">
        <f t="array" ref="K155">_xlfn.XLOOKUP(DATEVALUE(A155),'Week Lookup Table'!A:A,'Week Lookup Table'!B:B)</f>
        <v>#VALUE!</v>
      </c>
      <c r="L155" s="1">
        <f>'Game Lines'!L160</f>
        <v>0</v>
      </c>
    </row>
    <row r="156" spans="1:12" ht="13" x14ac:dyDescent="0.15">
      <c r="A156" s="5">
        <f>'Game Lines'!A161</f>
        <v>0</v>
      </c>
      <c r="B156" s="1">
        <f>'Game Lines'!B161</f>
        <v>0</v>
      </c>
      <c r="C156" s="1">
        <f>'Game Lines'!C161</f>
        <v>0</v>
      </c>
      <c r="D156" s="1">
        <f>'Game Lines'!D161</f>
        <v>0</v>
      </c>
      <c r="E156" s="1">
        <f>'Game Lines'!E161</f>
        <v>0</v>
      </c>
      <c r="F156" s="1">
        <f>'Game Lines'!F161</f>
        <v>0</v>
      </c>
      <c r="G156" s="1">
        <f>'Game Lines'!G161</f>
        <v>0</v>
      </c>
      <c r="H156" s="1">
        <f>'Game Lines'!H161</f>
        <v>0</v>
      </c>
      <c r="I156" s="1">
        <f>'Game Lines'!I161</f>
        <v>0</v>
      </c>
      <c r="J156" s="5">
        <f>'Game Lines'!J161</f>
        <v>0</v>
      </c>
      <c r="K156" s="1" t="e">
        <f t="array" ref="K156">_xlfn.XLOOKUP(DATEVALUE(A156),'Week Lookup Table'!A:A,'Week Lookup Table'!B:B)</f>
        <v>#VALUE!</v>
      </c>
      <c r="L156" s="1">
        <f>'Game Lines'!L161</f>
        <v>0</v>
      </c>
    </row>
    <row r="157" spans="1:12" ht="13" x14ac:dyDescent="0.15">
      <c r="A157" s="5">
        <f>'Game Lines'!A162</f>
        <v>0</v>
      </c>
      <c r="B157" s="1">
        <f>'Game Lines'!B162</f>
        <v>0</v>
      </c>
      <c r="C157" s="1">
        <f>'Game Lines'!C162</f>
        <v>0</v>
      </c>
      <c r="D157" s="1">
        <f>'Game Lines'!D162</f>
        <v>0</v>
      </c>
      <c r="E157" s="1">
        <f>'Game Lines'!E162</f>
        <v>0</v>
      </c>
      <c r="F157" s="1">
        <f>'Game Lines'!F162</f>
        <v>0</v>
      </c>
      <c r="G157" s="1">
        <f>'Game Lines'!G162</f>
        <v>0</v>
      </c>
      <c r="H157" s="1">
        <f>'Game Lines'!H162</f>
        <v>0</v>
      </c>
      <c r="I157" s="1">
        <f>'Game Lines'!I162</f>
        <v>0</v>
      </c>
      <c r="J157" s="5">
        <f>'Game Lines'!J162</f>
        <v>0</v>
      </c>
      <c r="K157" s="1" t="e">
        <f t="array" ref="K157">_xlfn.XLOOKUP(DATEVALUE(A157),'Week Lookup Table'!A:A,'Week Lookup Table'!B:B)</f>
        <v>#VALUE!</v>
      </c>
      <c r="L157" s="1">
        <f>'Game Lines'!L162</f>
        <v>0</v>
      </c>
    </row>
    <row r="158" spans="1:12" ht="13" x14ac:dyDescent="0.15">
      <c r="A158" s="5">
        <f>'Game Lines'!A163</f>
        <v>0</v>
      </c>
      <c r="B158" s="1">
        <f>'Game Lines'!B163</f>
        <v>0</v>
      </c>
      <c r="C158" s="1">
        <f>'Game Lines'!C163</f>
        <v>0</v>
      </c>
      <c r="D158" s="1">
        <f>'Game Lines'!D163</f>
        <v>0</v>
      </c>
      <c r="E158" s="1">
        <f>'Game Lines'!E163</f>
        <v>0</v>
      </c>
      <c r="F158" s="1">
        <f>'Game Lines'!F163</f>
        <v>0</v>
      </c>
      <c r="G158" s="1">
        <f>'Game Lines'!G163</f>
        <v>0</v>
      </c>
      <c r="H158" s="1">
        <f>'Game Lines'!H163</f>
        <v>0</v>
      </c>
      <c r="I158" s="1">
        <f>'Game Lines'!I163</f>
        <v>0</v>
      </c>
      <c r="J158" s="5">
        <f>'Game Lines'!J163</f>
        <v>0</v>
      </c>
      <c r="K158" s="1" t="e">
        <f t="array" ref="K158">_xlfn.XLOOKUP(DATEVALUE(A158),'Week Lookup Table'!A:A,'Week Lookup Table'!B:B)</f>
        <v>#VALUE!</v>
      </c>
      <c r="L158" s="1">
        <f>'Game Lines'!L163</f>
        <v>0</v>
      </c>
    </row>
    <row r="159" spans="1:12" ht="13" x14ac:dyDescent="0.15">
      <c r="A159" s="5">
        <f>'Game Lines'!A164</f>
        <v>0</v>
      </c>
      <c r="B159" s="1">
        <f>'Game Lines'!B164</f>
        <v>0</v>
      </c>
      <c r="C159" s="1">
        <f>'Game Lines'!C164</f>
        <v>0</v>
      </c>
      <c r="D159" s="1">
        <f>'Game Lines'!D164</f>
        <v>0</v>
      </c>
      <c r="E159" s="1">
        <f>'Game Lines'!E164</f>
        <v>0</v>
      </c>
      <c r="F159" s="1">
        <f>'Game Lines'!F164</f>
        <v>0</v>
      </c>
      <c r="G159" s="1">
        <f>'Game Lines'!G164</f>
        <v>0</v>
      </c>
      <c r="H159" s="1">
        <f>'Game Lines'!H164</f>
        <v>0</v>
      </c>
      <c r="I159" s="1">
        <f>'Game Lines'!I164</f>
        <v>0</v>
      </c>
      <c r="J159" s="5">
        <f>'Game Lines'!J164</f>
        <v>0</v>
      </c>
      <c r="K159" s="1" t="e">
        <f t="array" ref="K159">_xlfn.XLOOKUP(DATEVALUE(A159),'Week Lookup Table'!A:A,'Week Lookup Table'!B:B)</f>
        <v>#VALUE!</v>
      </c>
      <c r="L159" s="1">
        <f>'Game Lines'!L164</f>
        <v>0</v>
      </c>
    </row>
    <row r="160" spans="1:12" ht="13" x14ac:dyDescent="0.15">
      <c r="A160" s="5">
        <f>'Game Lines'!A165</f>
        <v>0</v>
      </c>
      <c r="B160" s="1">
        <f>'Game Lines'!B165</f>
        <v>0</v>
      </c>
      <c r="C160" s="1">
        <f>'Game Lines'!C165</f>
        <v>0</v>
      </c>
      <c r="D160" s="1">
        <f>'Game Lines'!D165</f>
        <v>0</v>
      </c>
      <c r="E160" s="1">
        <f>'Game Lines'!E165</f>
        <v>0</v>
      </c>
      <c r="F160" s="1">
        <f>'Game Lines'!F165</f>
        <v>0</v>
      </c>
      <c r="G160" s="1">
        <f>'Game Lines'!G165</f>
        <v>0</v>
      </c>
      <c r="H160" s="1">
        <f>'Game Lines'!H165</f>
        <v>0</v>
      </c>
      <c r="I160" s="1">
        <f>'Game Lines'!I165</f>
        <v>0</v>
      </c>
      <c r="J160" s="5">
        <f>'Game Lines'!J165</f>
        <v>0</v>
      </c>
      <c r="K160" s="1" t="e">
        <f t="array" ref="K160">_xlfn.XLOOKUP(DATEVALUE(A160),'Week Lookup Table'!A:A,'Week Lookup Table'!B:B)</f>
        <v>#VALUE!</v>
      </c>
      <c r="L160" s="1">
        <f>'Game Lines'!L165</f>
        <v>0</v>
      </c>
    </row>
    <row r="161" spans="1:12" ht="13" x14ac:dyDescent="0.15">
      <c r="A161" s="5">
        <f>'Game Lines'!A166</f>
        <v>0</v>
      </c>
      <c r="B161" s="1">
        <f>'Game Lines'!B166</f>
        <v>0</v>
      </c>
      <c r="C161" s="1">
        <f>'Game Lines'!C166</f>
        <v>0</v>
      </c>
      <c r="D161" s="1">
        <f>'Game Lines'!D166</f>
        <v>0</v>
      </c>
      <c r="E161" s="1">
        <f>'Game Lines'!E166</f>
        <v>0</v>
      </c>
      <c r="F161" s="1">
        <f>'Game Lines'!F166</f>
        <v>0</v>
      </c>
      <c r="G161" s="1">
        <f>'Game Lines'!G166</f>
        <v>0</v>
      </c>
      <c r="H161" s="1">
        <f>'Game Lines'!H166</f>
        <v>0</v>
      </c>
      <c r="I161" s="1">
        <f>'Game Lines'!I166</f>
        <v>0</v>
      </c>
      <c r="J161" s="5">
        <f>'Game Lines'!J166</f>
        <v>0</v>
      </c>
      <c r="K161" s="1" t="e">
        <f t="array" ref="K161">_xlfn.XLOOKUP(DATEVALUE(A161),'Week Lookup Table'!A:A,'Week Lookup Table'!B:B)</f>
        <v>#VALUE!</v>
      </c>
      <c r="L161" s="1">
        <f>'Game Lines'!L166</f>
        <v>0</v>
      </c>
    </row>
    <row r="162" spans="1:12" ht="13" x14ac:dyDescent="0.15">
      <c r="A162" s="5">
        <f>'Game Lines'!A167</f>
        <v>0</v>
      </c>
      <c r="B162" s="1">
        <f>'Game Lines'!B167</f>
        <v>0</v>
      </c>
      <c r="C162" s="1">
        <f>'Game Lines'!C167</f>
        <v>0</v>
      </c>
      <c r="D162" s="1">
        <f>'Game Lines'!D167</f>
        <v>0</v>
      </c>
      <c r="E162" s="1">
        <f>'Game Lines'!E167</f>
        <v>0</v>
      </c>
      <c r="F162" s="1">
        <f>'Game Lines'!F167</f>
        <v>0</v>
      </c>
      <c r="G162" s="1">
        <f>'Game Lines'!G167</f>
        <v>0</v>
      </c>
      <c r="H162" s="1">
        <f>'Game Lines'!H167</f>
        <v>0</v>
      </c>
      <c r="I162" s="1">
        <f>'Game Lines'!I167</f>
        <v>0</v>
      </c>
      <c r="J162" s="5">
        <f>'Game Lines'!J167</f>
        <v>0</v>
      </c>
      <c r="K162" s="1" t="e">
        <f t="array" ref="K162">_xlfn.XLOOKUP(DATEVALUE(A162),'Week Lookup Table'!A:A,'Week Lookup Table'!B:B)</f>
        <v>#VALUE!</v>
      </c>
      <c r="L162" s="1">
        <f>'Game Lines'!L167</f>
        <v>0</v>
      </c>
    </row>
    <row r="163" spans="1:12" ht="13" x14ac:dyDescent="0.15">
      <c r="A163" s="5">
        <f>'Game Lines'!A168</f>
        <v>0</v>
      </c>
      <c r="B163" s="1">
        <f>'Game Lines'!B168</f>
        <v>0</v>
      </c>
      <c r="C163" s="1">
        <f>'Game Lines'!C168</f>
        <v>0</v>
      </c>
      <c r="D163" s="1">
        <f>'Game Lines'!D168</f>
        <v>0</v>
      </c>
      <c r="E163" s="1">
        <f>'Game Lines'!E168</f>
        <v>0</v>
      </c>
      <c r="F163" s="1">
        <f>'Game Lines'!F168</f>
        <v>0</v>
      </c>
      <c r="G163" s="1">
        <f>'Game Lines'!G168</f>
        <v>0</v>
      </c>
      <c r="H163" s="1">
        <f>'Game Lines'!H168</f>
        <v>0</v>
      </c>
      <c r="I163" s="1">
        <f>'Game Lines'!I168</f>
        <v>0</v>
      </c>
      <c r="J163" s="5">
        <f>'Game Lines'!J168</f>
        <v>0</v>
      </c>
      <c r="K163" s="1" t="e">
        <f t="array" ref="K163">_xlfn.XLOOKUP(DATEVALUE(A163),'Week Lookup Table'!A:A,'Week Lookup Table'!B:B)</f>
        <v>#VALUE!</v>
      </c>
      <c r="L163" s="1">
        <f>'Game Lines'!L168</f>
        <v>0</v>
      </c>
    </row>
    <row r="164" spans="1:12" ht="13" x14ac:dyDescent="0.15">
      <c r="A164" s="5">
        <f>'Game Lines'!A169</f>
        <v>0</v>
      </c>
      <c r="B164" s="1">
        <f>'Game Lines'!B169</f>
        <v>0</v>
      </c>
      <c r="C164" s="1">
        <f>'Game Lines'!C169</f>
        <v>0</v>
      </c>
      <c r="D164" s="1">
        <f>'Game Lines'!D169</f>
        <v>0</v>
      </c>
      <c r="E164" s="1">
        <f>'Game Lines'!E169</f>
        <v>0</v>
      </c>
      <c r="F164" s="1">
        <f>'Game Lines'!F169</f>
        <v>0</v>
      </c>
      <c r="G164" s="1">
        <f>'Game Lines'!G169</f>
        <v>0</v>
      </c>
      <c r="H164" s="1">
        <f>'Game Lines'!H169</f>
        <v>0</v>
      </c>
      <c r="I164" s="1">
        <f>'Game Lines'!I169</f>
        <v>0</v>
      </c>
      <c r="J164" s="5">
        <f>'Game Lines'!J169</f>
        <v>0</v>
      </c>
      <c r="K164" s="1" t="e">
        <f t="array" ref="K164">_xlfn.XLOOKUP(DATEVALUE(A164),'Week Lookup Table'!A:A,'Week Lookup Table'!B:B)</f>
        <v>#VALUE!</v>
      </c>
      <c r="L164" s="1">
        <f>'Game Lines'!L169</f>
        <v>0</v>
      </c>
    </row>
    <row r="165" spans="1:12" ht="13" x14ac:dyDescent="0.15">
      <c r="A165" s="5">
        <f>'Game Lines'!A170</f>
        <v>0</v>
      </c>
      <c r="B165" s="1">
        <f>'Game Lines'!B170</f>
        <v>0</v>
      </c>
      <c r="C165" s="1">
        <f>'Game Lines'!C170</f>
        <v>0</v>
      </c>
      <c r="D165" s="1">
        <f>'Game Lines'!D170</f>
        <v>0</v>
      </c>
      <c r="E165" s="1">
        <f>'Game Lines'!E170</f>
        <v>0</v>
      </c>
      <c r="F165" s="1">
        <f>'Game Lines'!F170</f>
        <v>0</v>
      </c>
      <c r="G165" s="1">
        <f>'Game Lines'!G170</f>
        <v>0</v>
      </c>
      <c r="H165" s="1">
        <f>'Game Lines'!H170</f>
        <v>0</v>
      </c>
      <c r="I165" s="1">
        <f>'Game Lines'!I170</f>
        <v>0</v>
      </c>
      <c r="J165" s="5">
        <f>'Game Lines'!J170</f>
        <v>0</v>
      </c>
      <c r="K165" s="1" t="e">
        <f t="array" ref="K165">_xlfn.XLOOKUP(DATEVALUE(A165),'Week Lookup Table'!A:A,'Week Lookup Table'!B:B)</f>
        <v>#VALUE!</v>
      </c>
      <c r="L165" s="1">
        <f>'Game Lines'!L170</f>
        <v>0</v>
      </c>
    </row>
    <row r="166" spans="1:12" ht="13" x14ac:dyDescent="0.15">
      <c r="A166" s="5">
        <f>'Game Lines'!A171</f>
        <v>0</v>
      </c>
      <c r="B166" s="1">
        <f>'Game Lines'!B171</f>
        <v>0</v>
      </c>
      <c r="C166" s="1">
        <f>'Game Lines'!C171</f>
        <v>0</v>
      </c>
      <c r="D166" s="1">
        <f>'Game Lines'!D171</f>
        <v>0</v>
      </c>
      <c r="E166" s="1">
        <f>'Game Lines'!E171</f>
        <v>0</v>
      </c>
      <c r="F166" s="1">
        <f>'Game Lines'!F171</f>
        <v>0</v>
      </c>
      <c r="G166" s="1">
        <f>'Game Lines'!G171</f>
        <v>0</v>
      </c>
      <c r="H166" s="1">
        <f>'Game Lines'!H171</f>
        <v>0</v>
      </c>
      <c r="I166" s="1">
        <f>'Game Lines'!I171</f>
        <v>0</v>
      </c>
      <c r="J166" s="5">
        <f>'Game Lines'!J171</f>
        <v>0</v>
      </c>
      <c r="K166" s="1" t="e">
        <f t="array" ref="K166">_xlfn.XLOOKUP(DATEVALUE(A166),'Week Lookup Table'!A:A,'Week Lookup Table'!B:B)</f>
        <v>#VALUE!</v>
      </c>
      <c r="L166" s="1">
        <f>'Game Lines'!L171</f>
        <v>0</v>
      </c>
    </row>
    <row r="167" spans="1:12" ht="13" x14ac:dyDescent="0.15">
      <c r="A167" s="5">
        <f>'Game Lines'!A172</f>
        <v>0</v>
      </c>
      <c r="B167" s="1">
        <f>'Game Lines'!B172</f>
        <v>0</v>
      </c>
      <c r="C167" s="1">
        <f>'Game Lines'!C172</f>
        <v>0</v>
      </c>
      <c r="D167" s="1">
        <f>'Game Lines'!D172</f>
        <v>0</v>
      </c>
      <c r="E167" s="1">
        <f>'Game Lines'!E172</f>
        <v>0</v>
      </c>
      <c r="F167" s="1">
        <f>'Game Lines'!F172</f>
        <v>0</v>
      </c>
      <c r="G167" s="1">
        <f>'Game Lines'!G172</f>
        <v>0</v>
      </c>
      <c r="H167" s="1">
        <f>'Game Lines'!H172</f>
        <v>0</v>
      </c>
      <c r="I167" s="1">
        <f>'Game Lines'!I172</f>
        <v>0</v>
      </c>
      <c r="J167" s="5">
        <f>'Game Lines'!J172</f>
        <v>0</v>
      </c>
      <c r="K167" s="1" t="e">
        <f t="array" ref="K167">_xlfn.XLOOKUP(DATEVALUE(A167),'Week Lookup Table'!A:A,'Week Lookup Table'!B:B)</f>
        <v>#VALUE!</v>
      </c>
      <c r="L167" s="1">
        <f>'Game Lines'!L172</f>
        <v>0</v>
      </c>
    </row>
    <row r="168" spans="1:12" ht="13" x14ac:dyDescent="0.15">
      <c r="A168" s="5">
        <f>'Game Lines'!A173</f>
        <v>0</v>
      </c>
      <c r="B168" s="1">
        <f>'Game Lines'!B173</f>
        <v>0</v>
      </c>
      <c r="C168" s="1">
        <f>'Game Lines'!C173</f>
        <v>0</v>
      </c>
      <c r="D168" s="1">
        <f>'Game Lines'!D173</f>
        <v>0</v>
      </c>
      <c r="E168" s="1">
        <f>'Game Lines'!E173</f>
        <v>0</v>
      </c>
      <c r="F168" s="1">
        <f>'Game Lines'!F173</f>
        <v>0</v>
      </c>
      <c r="G168" s="1">
        <f>'Game Lines'!G173</f>
        <v>0</v>
      </c>
      <c r="H168" s="1">
        <f>'Game Lines'!H173</f>
        <v>0</v>
      </c>
      <c r="I168" s="1">
        <f>'Game Lines'!I173</f>
        <v>0</v>
      </c>
      <c r="J168" s="5">
        <f>'Game Lines'!J173</f>
        <v>0</v>
      </c>
      <c r="K168" s="1" t="e">
        <f t="array" ref="K168">_xlfn.XLOOKUP(DATEVALUE(A168),'Week Lookup Table'!A:A,'Week Lookup Table'!B:B)</f>
        <v>#VALUE!</v>
      </c>
      <c r="L168" s="1">
        <f>'Game Lines'!L173</f>
        <v>0</v>
      </c>
    </row>
    <row r="169" spans="1:12" ht="13" x14ac:dyDescent="0.15">
      <c r="A169" s="5">
        <f>'Game Lines'!A174</f>
        <v>0</v>
      </c>
      <c r="B169" s="1">
        <f>'Game Lines'!B174</f>
        <v>0</v>
      </c>
      <c r="C169" s="1">
        <f>'Game Lines'!C174</f>
        <v>0</v>
      </c>
      <c r="D169" s="1">
        <f>'Game Lines'!D174</f>
        <v>0</v>
      </c>
      <c r="E169" s="1">
        <f>'Game Lines'!E174</f>
        <v>0</v>
      </c>
      <c r="F169" s="1">
        <f>'Game Lines'!F174</f>
        <v>0</v>
      </c>
      <c r="G169" s="1">
        <f>'Game Lines'!G174</f>
        <v>0</v>
      </c>
      <c r="H169" s="1">
        <f>'Game Lines'!H174</f>
        <v>0</v>
      </c>
      <c r="I169" s="1">
        <f>'Game Lines'!I174</f>
        <v>0</v>
      </c>
      <c r="J169" s="5">
        <f>'Game Lines'!J174</f>
        <v>0</v>
      </c>
      <c r="K169" s="1" t="e">
        <f t="array" ref="K169">_xlfn.XLOOKUP(DATEVALUE(A169),'Week Lookup Table'!A:A,'Week Lookup Table'!B:B)</f>
        <v>#VALUE!</v>
      </c>
      <c r="L169" s="1">
        <f>'Game Lines'!L174</f>
        <v>0</v>
      </c>
    </row>
    <row r="170" spans="1:12" ht="13" x14ac:dyDescent="0.15">
      <c r="A170" s="5">
        <f>'Game Lines'!A175</f>
        <v>0</v>
      </c>
      <c r="B170" s="1">
        <f>'Game Lines'!B175</f>
        <v>0</v>
      </c>
      <c r="C170" s="1">
        <f>'Game Lines'!C175</f>
        <v>0</v>
      </c>
      <c r="D170" s="1">
        <f>'Game Lines'!D175</f>
        <v>0</v>
      </c>
      <c r="E170" s="1">
        <f>'Game Lines'!E175</f>
        <v>0</v>
      </c>
      <c r="F170" s="1">
        <f>'Game Lines'!F175</f>
        <v>0</v>
      </c>
      <c r="G170" s="1">
        <f>'Game Lines'!G175</f>
        <v>0</v>
      </c>
      <c r="H170" s="1">
        <f>'Game Lines'!H175</f>
        <v>0</v>
      </c>
      <c r="I170" s="1">
        <f>'Game Lines'!I175</f>
        <v>0</v>
      </c>
      <c r="J170" s="5">
        <f>'Game Lines'!J175</f>
        <v>0</v>
      </c>
      <c r="K170" s="1" t="e">
        <f t="array" ref="K170">_xlfn.XLOOKUP(DATEVALUE(A170),'Week Lookup Table'!A:A,'Week Lookup Table'!B:B)</f>
        <v>#VALUE!</v>
      </c>
      <c r="L170" s="1">
        <f>'Game Lines'!L175</f>
        <v>0</v>
      </c>
    </row>
    <row r="171" spans="1:12" ht="13" x14ac:dyDescent="0.15">
      <c r="A171" s="5">
        <f>'Game Lines'!A176</f>
        <v>0</v>
      </c>
      <c r="B171" s="1">
        <f>'Game Lines'!B176</f>
        <v>0</v>
      </c>
      <c r="C171" s="1">
        <f>'Game Lines'!C176</f>
        <v>0</v>
      </c>
      <c r="D171" s="1">
        <f>'Game Lines'!D176</f>
        <v>0</v>
      </c>
      <c r="E171" s="1">
        <f>'Game Lines'!E176</f>
        <v>0</v>
      </c>
      <c r="F171" s="1">
        <f>'Game Lines'!F176</f>
        <v>0</v>
      </c>
      <c r="G171" s="1">
        <f>'Game Lines'!G176</f>
        <v>0</v>
      </c>
      <c r="H171" s="1">
        <f>'Game Lines'!H176</f>
        <v>0</v>
      </c>
      <c r="I171" s="1">
        <f>'Game Lines'!I176</f>
        <v>0</v>
      </c>
      <c r="J171" s="5">
        <f>'Game Lines'!J176</f>
        <v>0</v>
      </c>
      <c r="K171" s="1" t="e">
        <f t="array" ref="K171">_xlfn.XLOOKUP(DATEVALUE(A171),'Week Lookup Table'!A:A,'Week Lookup Table'!B:B)</f>
        <v>#VALUE!</v>
      </c>
      <c r="L171" s="1">
        <f>'Game Lines'!L176</f>
        <v>0</v>
      </c>
    </row>
    <row r="172" spans="1:12" ht="13" x14ac:dyDescent="0.15">
      <c r="A172" s="5">
        <f>'Game Lines'!A177</f>
        <v>0</v>
      </c>
      <c r="B172" s="1">
        <f>'Game Lines'!B177</f>
        <v>0</v>
      </c>
      <c r="C172" s="1">
        <f>'Game Lines'!C177</f>
        <v>0</v>
      </c>
      <c r="D172" s="1">
        <f>'Game Lines'!D177</f>
        <v>0</v>
      </c>
      <c r="E172" s="1">
        <f>'Game Lines'!E177</f>
        <v>0</v>
      </c>
      <c r="F172" s="1">
        <f>'Game Lines'!F177</f>
        <v>0</v>
      </c>
      <c r="G172" s="1">
        <f>'Game Lines'!G177</f>
        <v>0</v>
      </c>
      <c r="H172" s="1">
        <f>'Game Lines'!H177</f>
        <v>0</v>
      </c>
      <c r="I172" s="1">
        <f>'Game Lines'!I177</f>
        <v>0</v>
      </c>
      <c r="J172" s="5">
        <f>'Game Lines'!J177</f>
        <v>0</v>
      </c>
      <c r="K172" s="1" t="e">
        <f t="array" ref="K172">_xlfn.XLOOKUP(DATEVALUE(A172),'Week Lookup Table'!A:A,'Week Lookup Table'!B:B)</f>
        <v>#VALUE!</v>
      </c>
      <c r="L172" s="1">
        <f>'Game Lines'!L177</f>
        <v>0</v>
      </c>
    </row>
    <row r="173" spans="1:12" ht="13" x14ac:dyDescent="0.15">
      <c r="A173" s="5">
        <f>'Game Lines'!A178</f>
        <v>0</v>
      </c>
      <c r="B173" s="1">
        <f>'Game Lines'!B178</f>
        <v>0</v>
      </c>
      <c r="C173" s="1">
        <f>'Game Lines'!C178</f>
        <v>0</v>
      </c>
      <c r="D173" s="1">
        <f>'Game Lines'!D178</f>
        <v>0</v>
      </c>
      <c r="E173" s="1">
        <f>'Game Lines'!E178</f>
        <v>0</v>
      </c>
      <c r="F173" s="1">
        <f>'Game Lines'!F178</f>
        <v>0</v>
      </c>
      <c r="G173" s="1">
        <f>'Game Lines'!G178</f>
        <v>0</v>
      </c>
      <c r="H173" s="1">
        <f>'Game Lines'!H178</f>
        <v>0</v>
      </c>
      <c r="I173" s="1">
        <f>'Game Lines'!I178</f>
        <v>0</v>
      </c>
      <c r="J173" s="5">
        <f>'Game Lines'!J178</f>
        <v>0</v>
      </c>
      <c r="K173" s="1" t="e">
        <f t="array" ref="K173">_xlfn.XLOOKUP(DATEVALUE(A173),'Week Lookup Table'!A:A,'Week Lookup Table'!B:B)</f>
        <v>#VALUE!</v>
      </c>
      <c r="L173" s="1">
        <f>'Game Lines'!L178</f>
        <v>0</v>
      </c>
    </row>
    <row r="174" spans="1:12" ht="13" x14ac:dyDescent="0.15">
      <c r="A174" s="5">
        <f>'Game Lines'!A179</f>
        <v>0</v>
      </c>
      <c r="B174" s="1">
        <f>'Game Lines'!B179</f>
        <v>0</v>
      </c>
      <c r="C174" s="1">
        <f>'Game Lines'!C179</f>
        <v>0</v>
      </c>
      <c r="D174" s="1">
        <f>'Game Lines'!D179</f>
        <v>0</v>
      </c>
      <c r="E174" s="1">
        <f>'Game Lines'!E179</f>
        <v>0</v>
      </c>
      <c r="F174" s="1">
        <f>'Game Lines'!F179</f>
        <v>0</v>
      </c>
      <c r="G174" s="1">
        <f>'Game Lines'!G179</f>
        <v>0</v>
      </c>
      <c r="H174" s="1">
        <f>'Game Lines'!H179</f>
        <v>0</v>
      </c>
      <c r="I174" s="1">
        <f>'Game Lines'!I179</f>
        <v>0</v>
      </c>
      <c r="J174" s="5">
        <f>'Game Lines'!J179</f>
        <v>0</v>
      </c>
      <c r="K174" s="1" t="e">
        <f t="array" ref="K174">_xlfn.XLOOKUP(DATEVALUE(A174),'Week Lookup Table'!A:A,'Week Lookup Table'!B:B)</f>
        <v>#VALUE!</v>
      </c>
      <c r="L174" s="1">
        <f>'Game Lines'!L179</f>
        <v>0</v>
      </c>
    </row>
    <row r="175" spans="1:12" ht="13" x14ac:dyDescent="0.15">
      <c r="A175" s="5">
        <f>'Game Lines'!A180</f>
        <v>0</v>
      </c>
      <c r="B175" s="1">
        <f>'Game Lines'!B180</f>
        <v>0</v>
      </c>
      <c r="C175" s="1">
        <f>'Game Lines'!C180</f>
        <v>0</v>
      </c>
      <c r="D175" s="1">
        <f>'Game Lines'!D180</f>
        <v>0</v>
      </c>
      <c r="E175" s="1">
        <f>'Game Lines'!E180</f>
        <v>0</v>
      </c>
      <c r="F175" s="1">
        <f>'Game Lines'!F180</f>
        <v>0</v>
      </c>
      <c r="G175" s="1">
        <f>'Game Lines'!G180</f>
        <v>0</v>
      </c>
      <c r="H175" s="1">
        <f>'Game Lines'!H180</f>
        <v>0</v>
      </c>
      <c r="I175" s="1">
        <f>'Game Lines'!I180</f>
        <v>0</v>
      </c>
      <c r="J175" s="5">
        <f>'Game Lines'!J180</f>
        <v>0</v>
      </c>
      <c r="K175" s="1" t="e">
        <f t="array" ref="K175">_xlfn.XLOOKUP(DATEVALUE(A175),'Week Lookup Table'!A:A,'Week Lookup Table'!B:B)</f>
        <v>#VALUE!</v>
      </c>
      <c r="L175" s="1">
        <f>'Game Lines'!L180</f>
        <v>0</v>
      </c>
    </row>
    <row r="176" spans="1:12" ht="13" x14ac:dyDescent="0.15">
      <c r="A176" s="5">
        <f>'Game Lines'!A181</f>
        <v>0</v>
      </c>
      <c r="B176" s="1">
        <f>'Game Lines'!B181</f>
        <v>0</v>
      </c>
      <c r="C176" s="1">
        <f>'Game Lines'!C181</f>
        <v>0</v>
      </c>
      <c r="D176" s="1">
        <f>'Game Lines'!D181</f>
        <v>0</v>
      </c>
      <c r="E176" s="1">
        <f>'Game Lines'!E181</f>
        <v>0</v>
      </c>
      <c r="F176" s="1">
        <f>'Game Lines'!F181</f>
        <v>0</v>
      </c>
      <c r="G176" s="1">
        <f>'Game Lines'!G181</f>
        <v>0</v>
      </c>
      <c r="H176" s="1">
        <f>'Game Lines'!H181</f>
        <v>0</v>
      </c>
      <c r="I176" s="1">
        <f>'Game Lines'!I181</f>
        <v>0</v>
      </c>
      <c r="J176" s="5">
        <f>'Game Lines'!J181</f>
        <v>0</v>
      </c>
      <c r="K176" s="1" t="e">
        <f t="array" ref="K176">_xlfn.XLOOKUP(DATEVALUE(A176),'Week Lookup Table'!A:A,'Week Lookup Table'!B:B)</f>
        <v>#VALUE!</v>
      </c>
      <c r="L176" s="1">
        <f>'Game Lines'!L181</f>
        <v>0</v>
      </c>
    </row>
    <row r="177" spans="1:12" ht="13" x14ac:dyDescent="0.15">
      <c r="A177" s="5">
        <f>'Game Lines'!A182</f>
        <v>0</v>
      </c>
      <c r="B177" s="1">
        <f>'Game Lines'!B182</f>
        <v>0</v>
      </c>
      <c r="C177" s="1">
        <f>'Game Lines'!C182</f>
        <v>0</v>
      </c>
      <c r="D177" s="1">
        <f>'Game Lines'!D182</f>
        <v>0</v>
      </c>
      <c r="E177" s="1">
        <f>'Game Lines'!E182</f>
        <v>0</v>
      </c>
      <c r="F177" s="1">
        <f>'Game Lines'!F182</f>
        <v>0</v>
      </c>
      <c r="G177" s="1">
        <f>'Game Lines'!G182</f>
        <v>0</v>
      </c>
      <c r="H177" s="1">
        <f>'Game Lines'!H182</f>
        <v>0</v>
      </c>
      <c r="I177" s="1">
        <f>'Game Lines'!I182</f>
        <v>0</v>
      </c>
      <c r="J177" s="5">
        <f>'Game Lines'!J182</f>
        <v>0</v>
      </c>
      <c r="K177" s="1" t="e">
        <f t="array" ref="K177">_xlfn.XLOOKUP(DATEVALUE(A177),'Week Lookup Table'!A:A,'Week Lookup Table'!B:B)</f>
        <v>#VALUE!</v>
      </c>
      <c r="L177" s="1">
        <f>'Game Lines'!L182</f>
        <v>0</v>
      </c>
    </row>
    <row r="178" spans="1:12" ht="13" x14ac:dyDescent="0.15">
      <c r="A178" s="5">
        <f>'Game Lines'!A183</f>
        <v>0</v>
      </c>
      <c r="B178" s="1">
        <f>'Game Lines'!B183</f>
        <v>0</v>
      </c>
      <c r="C178" s="1">
        <f>'Game Lines'!C183</f>
        <v>0</v>
      </c>
      <c r="D178" s="1">
        <f>'Game Lines'!D183</f>
        <v>0</v>
      </c>
      <c r="E178" s="1">
        <f>'Game Lines'!E183</f>
        <v>0</v>
      </c>
      <c r="F178" s="1">
        <f>'Game Lines'!F183</f>
        <v>0</v>
      </c>
      <c r="G178" s="1">
        <f>'Game Lines'!G183</f>
        <v>0</v>
      </c>
      <c r="H178" s="1">
        <f>'Game Lines'!H183</f>
        <v>0</v>
      </c>
      <c r="I178" s="1">
        <f>'Game Lines'!I183</f>
        <v>0</v>
      </c>
      <c r="J178" s="5">
        <f>'Game Lines'!J183</f>
        <v>0</v>
      </c>
      <c r="K178" s="1" t="e">
        <f t="array" ref="K178">_xlfn.XLOOKUP(DATEVALUE(A178),'Week Lookup Table'!A:A,'Week Lookup Table'!B:B)</f>
        <v>#VALUE!</v>
      </c>
      <c r="L178" s="1">
        <f>'Game Lines'!L183</f>
        <v>0</v>
      </c>
    </row>
    <row r="179" spans="1:12" ht="13" x14ac:dyDescent="0.15">
      <c r="A179" s="5">
        <f>'Game Lines'!A184</f>
        <v>0</v>
      </c>
      <c r="B179" s="1">
        <f>'Game Lines'!B184</f>
        <v>0</v>
      </c>
      <c r="C179" s="1">
        <f>'Game Lines'!C184</f>
        <v>0</v>
      </c>
      <c r="D179" s="1">
        <f>'Game Lines'!D184</f>
        <v>0</v>
      </c>
      <c r="E179" s="1">
        <f>'Game Lines'!E184</f>
        <v>0</v>
      </c>
      <c r="F179" s="1">
        <f>'Game Lines'!F184</f>
        <v>0</v>
      </c>
      <c r="G179" s="1">
        <f>'Game Lines'!G184</f>
        <v>0</v>
      </c>
      <c r="H179" s="1">
        <f>'Game Lines'!H184</f>
        <v>0</v>
      </c>
      <c r="I179" s="1">
        <f>'Game Lines'!I184</f>
        <v>0</v>
      </c>
      <c r="J179" s="5">
        <f>'Game Lines'!J184</f>
        <v>0</v>
      </c>
      <c r="K179" s="1" t="e">
        <f t="array" ref="K179">_xlfn.XLOOKUP(DATEVALUE(A179),'Week Lookup Table'!A:A,'Week Lookup Table'!B:B)</f>
        <v>#VALUE!</v>
      </c>
      <c r="L179" s="1">
        <f>'Game Lines'!L184</f>
        <v>0</v>
      </c>
    </row>
    <row r="180" spans="1:12" ht="13" x14ac:dyDescent="0.15">
      <c r="A180" s="5">
        <f>'Game Lines'!A185</f>
        <v>0</v>
      </c>
      <c r="B180" s="1">
        <f>'Game Lines'!B185</f>
        <v>0</v>
      </c>
      <c r="C180" s="1">
        <f>'Game Lines'!C185</f>
        <v>0</v>
      </c>
      <c r="D180" s="1">
        <f>'Game Lines'!D185</f>
        <v>0</v>
      </c>
      <c r="E180" s="1">
        <f>'Game Lines'!E185</f>
        <v>0</v>
      </c>
      <c r="F180" s="1">
        <f>'Game Lines'!F185</f>
        <v>0</v>
      </c>
      <c r="G180" s="1">
        <f>'Game Lines'!G185</f>
        <v>0</v>
      </c>
      <c r="H180" s="1">
        <f>'Game Lines'!H185</f>
        <v>0</v>
      </c>
      <c r="I180" s="1">
        <f>'Game Lines'!I185</f>
        <v>0</v>
      </c>
      <c r="J180" s="5">
        <f>'Game Lines'!J185</f>
        <v>0</v>
      </c>
      <c r="K180" s="1" t="e">
        <f t="array" ref="K180">_xlfn.XLOOKUP(DATEVALUE(A180),'Week Lookup Table'!A:A,'Week Lookup Table'!B:B)</f>
        <v>#VALUE!</v>
      </c>
      <c r="L180" s="1">
        <f>'Game Lines'!L185</f>
        <v>0</v>
      </c>
    </row>
    <row r="181" spans="1:12" ht="13" x14ac:dyDescent="0.15">
      <c r="A181" s="5">
        <f>'Game Lines'!A186</f>
        <v>0</v>
      </c>
      <c r="B181" s="1">
        <f>'Game Lines'!B186</f>
        <v>0</v>
      </c>
      <c r="C181" s="1">
        <f>'Game Lines'!C186</f>
        <v>0</v>
      </c>
      <c r="D181" s="1">
        <f>'Game Lines'!D186</f>
        <v>0</v>
      </c>
      <c r="E181" s="1">
        <f>'Game Lines'!E186</f>
        <v>0</v>
      </c>
      <c r="F181" s="1">
        <f>'Game Lines'!F186</f>
        <v>0</v>
      </c>
      <c r="G181" s="1">
        <f>'Game Lines'!G186</f>
        <v>0</v>
      </c>
      <c r="H181" s="1">
        <f>'Game Lines'!H186</f>
        <v>0</v>
      </c>
      <c r="I181" s="1">
        <f>'Game Lines'!I186</f>
        <v>0</v>
      </c>
      <c r="J181" s="5">
        <f>'Game Lines'!J186</f>
        <v>0</v>
      </c>
      <c r="K181" s="1" t="e">
        <f t="array" ref="K181">_xlfn.XLOOKUP(DATEVALUE(A181),'Week Lookup Table'!A:A,'Week Lookup Table'!B:B)</f>
        <v>#VALUE!</v>
      </c>
      <c r="L181" s="1">
        <f>'Game Lines'!L186</f>
        <v>0</v>
      </c>
    </row>
    <row r="182" spans="1:12" ht="13" x14ac:dyDescent="0.15">
      <c r="A182" s="5">
        <f>'Game Lines'!A187</f>
        <v>0</v>
      </c>
      <c r="B182" s="1">
        <f>'Game Lines'!B187</f>
        <v>0</v>
      </c>
      <c r="C182" s="1">
        <f>'Game Lines'!C187</f>
        <v>0</v>
      </c>
      <c r="D182" s="1">
        <f>'Game Lines'!D187</f>
        <v>0</v>
      </c>
      <c r="E182" s="1">
        <f>'Game Lines'!E187</f>
        <v>0</v>
      </c>
      <c r="F182" s="1">
        <f>'Game Lines'!F187</f>
        <v>0</v>
      </c>
      <c r="G182" s="1">
        <f>'Game Lines'!G187</f>
        <v>0</v>
      </c>
      <c r="H182" s="1">
        <f>'Game Lines'!H187</f>
        <v>0</v>
      </c>
      <c r="I182" s="1">
        <f>'Game Lines'!I187</f>
        <v>0</v>
      </c>
      <c r="J182" s="5">
        <f>'Game Lines'!J187</f>
        <v>0</v>
      </c>
      <c r="K182" s="1" t="e">
        <f t="array" ref="K182">_xlfn.XLOOKUP(DATEVALUE(A182),'Week Lookup Table'!A:A,'Week Lookup Table'!B:B)</f>
        <v>#VALUE!</v>
      </c>
      <c r="L182" s="1">
        <f>'Game Lines'!L187</f>
        <v>0</v>
      </c>
    </row>
    <row r="183" spans="1:12" ht="13" x14ac:dyDescent="0.15">
      <c r="A183" s="5">
        <f>'Game Lines'!A188</f>
        <v>0</v>
      </c>
      <c r="B183" s="1">
        <f>'Game Lines'!B188</f>
        <v>0</v>
      </c>
      <c r="C183" s="1">
        <f>'Game Lines'!C188</f>
        <v>0</v>
      </c>
      <c r="D183" s="1">
        <f>'Game Lines'!D188</f>
        <v>0</v>
      </c>
      <c r="E183" s="1">
        <f>'Game Lines'!E188</f>
        <v>0</v>
      </c>
      <c r="F183" s="1">
        <f>'Game Lines'!F188</f>
        <v>0</v>
      </c>
      <c r="G183" s="1">
        <f>'Game Lines'!G188</f>
        <v>0</v>
      </c>
      <c r="H183" s="1">
        <f>'Game Lines'!H188</f>
        <v>0</v>
      </c>
      <c r="I183" s="1">
        <f>'Game Lines'!I188</f>
        <v>0</v>
      </c>
      <c r="J183" s="5">
        <f>'Game Lines'!J188</f>
        <v>0</v>
      </c>
      <c r="K183" s="1" t="e">
        <f t="array" ref="K183">_xlfn.XLOOKUP(DATEVALUE(A183),'Week Lookup Table'!A:A,'Week Lookup Table'!B:B)</f>
        <v>#VALUE!</v>
      </c>
      <c r="L183" s="1">
        <f>'Game Lines'!L188</f>
        <v>0</v>
      </c>
    </row>
    <row r="184" spans="1:12" ht="13" x14ac:dyDescent="0.15">
      <c r="A184" s="5">
        <f>'Game Lines'!A189</f>
        <v>0</v>
      </c>
      <c r="B184" s="1">
        <f>'Game Lines'!B189</f>
        <v>0</v>
      </c>
      <c r="C184" s="1">
        <f>'Game Lines'!C189</f>
        <v>0</v>
      </c>
      <c r="D184" s="1">
        <f>'Game Lines'!D189</f>
        <v>0</v>
      </c>
      <c r="E184" s="1">
        <f>'Game Lines'!E189</f>
        <v>0</v>
      </c>
      <c r="F184" s="1">
        <f>'Game Lines'!F189</f>
        <v>0</v>
      </c>
      <c r="G184" s="1">
        <f>'Game Lines'!G189</f>
        <v>0</v>
      </c>
      <c r="H184" s="1">
        <f>'Game Lines'!H189</f>
        <v>0</v>
      </c>
      <c r="I184" s="1">
        <f>'Game Lines'!I189</f>
        <v>0</v>
      </c>
      <c r="J184" s="5">
        <f>'Game Lines'!J189</f>
        <v>0</v>
      </c>
      <c r="K184" s="1" t="e">
        <f t="array" ref="K184">_xlfn.XLOOKUP(DATEVALUE(A184),'Week Lookup Table'!A:A,'Week Lookup Table'!B:B)</f>
        <v>#VALUE!</v>
      </c>
      <c r="L184" s="1">
        <f>'Game Lines'!L189</f>
        <v>0</v>
      </c>
    </row>
    <row r="185" spans="1:12" ht="13" x14ac:dyDescent="0.15">
      <c r="A185" s="5">
        <f>'Game Lines'!A190</f>
        <v>0</v>
      </c>
      <c r="B185" s="1">
        <f>'Game Lines'!B190</f>
        <v>0</v>
      </c>
      <c r="C185" s="1">
        <f>'Game Lines'!C190</f>
        <v>0</v>
      </c>
      <c r="D185" s="1">
        <f>'Game Lines'!D190</f>
        <v>0</v>
      </c>
      <c r="E185" s="1">
        <f>'Game Lines'!E190</f>
        <v>0</v>
      </c>
      <c r="F185" s="1">
        <f>'Game Lines'!F190</f>
        <v>0</v>
      </c>
      <c r="G185" s="1">
        <f>'Game Lines'!G190</f>
        <v>0</v>
      </c>
      <c r="H185" s="1">
        <f>'Game Lines'!H190</f>
        <v>0</v>
      </c>
      <c r="I185" s="1">
        <f>'Game Lines'!I190</f>
        <v>0</v>
      </c>
      <c r="J185" s="5">
        <f>'Game Lines'!J190</f>
        <v>0</v>
      </c>
      <c r="K185" s="1" t="e">
        <f t="array" ref="K185">_xlfn.XLOOKUP(DATEVALUE(A185),'Week Lookup Table'!A:A,'Week Lookup Table'!B:B)</f>
        <v>#VALUE!</v>
      </c>
      <c r="L185" s="1">
        <f>'Game Lines'!L190</f>
        <v>0</v>
      </c>
    </row>
    <row r="186" spans="1:12" ht="13" x14ac:dyDescent="0.15">
      <c r="A186" s="5">
        <f>'Game Lines'!A191</f>
        <v>0</v>
      </c>
      <c r="B186" s="1">
        <f>'Game Lines'!B191</f>
        <v>0</v>
      </c>
      <c r="C186" s="1">
        <f>'Game Lines'!C191</f>
        <v>0</v>
      </c>
      <c r="D186" s="1">
        <f>'Game Lines'!D191</f>
        <v>0</v>
      </c>
      <c r="E186" s="1">
        <f>'Game Lines'!E191</f>
        <v>0</v>
      </c>
      <c r="F186" s="1">
        <f>'Game Lines'!F191</f>
        <v>0</v>
      </c>
      <c r="G186" s="1">
        <f>'Game Lines'!G191</f>
        <v>0</v>
      </c>
      <c r="H186" s="1">
        <f>'Game Lines'!H191</f>
        <v>0</v>
      </c>
      <c r="I186" s="1">
        <f>'Game Lines'!I191</f>
        <v>0</v>
      </c>
      <c r="J186" s="5">
        <f>'Game Lines'!J191</f>
        <v>0</v>
      </c>
      <c r="K186" s="1" t="e">
        <f t="array" ref="K186">_xlfn.XLOOKUP(DATEVALUE(A186),'Week Lookup Table'!A:A,'Week Lookup Table'!B:B)</f>
        <v>#VALUE!</v>
      </c>
      <c r="L186" s="1">
        <f>'Game Lines'!L191</f>
        <v>0</v>
      </c>
    </row>
    <row r="187" spans="1:12" ht="13" x14ac:dyDescent="0.15">
      <c r="A187" s="5">
        <f>'Game Lines'!A192</f>
        <v>0</v>
      </c>
      <c r="B187" s="1">
        <f>'Game Lines'!B192</f>
        <v>0</v>
      </c>
      <c r="C187" s="1">
        <f>'Game Lines'!C192</f>
        <v>0</v>
      </c>
      <c r="D187" s="1">
        <f>'Game Lines'!D192</f>
        <v>0</v>
      </c>
      <c r="E187" s="1">
        <f>'Game Lines'!E192</f>
        <v>0</v>
      </c>
      <c r="F187" s="1">
        <f>'Game Lines'!F192</f>
        <v>0</v>
      </c>
      <c r="G187" s="1">
        <f>'Game Lines'!G192</f>
        <v>0</v>
      </c>
      <c r="H187" s="1">
        <f>'Game Lines'!H192</f>
        <v>0</v>
      </c>
      <c r="I187" s="1">
        <f>'Game Lines'!I192</f>
        <v>0</v>
      </c>
      <c r="J187" s="5">
        <f>'Game Lines'!J192</f>
        <v>0</v>
      </c>
      <c r="K187" s="1" t="e">
        <f t="array" ref="K187">_xlfn.XLOOKUP(DATEVALUE(A187),'Week Lookup Table'!A:A,'Week Lookup Table'!B:B)</f>
        <v>#VALUE!</v>
      </c>
      <c r="L187" s="1">
        <f>'Game Lines'!L192</f>
        <v>0</v>
      </c>
    </row>
    <row r="188" spans="1:12" ht="13" x14ac:dyDescent="0.15">
      <c r="A188" s="5">
        <f>'Game Lines'!A193</f>
        <v>0</v>
      </c>
      <c r="B188" s="1">
        <f>'Game Lines'!B193</f>
        <v>0</v>
      </c>
      <c r="C188" s="1">
        <f>'Game Lines'!C193</f>
        <v>0</v>
      </c>
      <c r="D188" s="1">
        <f>'Game Lines'!D193</f>
        <v>0</v>
      </c>
      <c r="E188" s="1">
        <f>'Game Lines'!E193</f>
        <v>0</v>
      </c>
      <c r="F188" s="1">
        <f>'Game Lines'!F193</f>
        <v>0</v>
      </c>
      <c r="G188" s="1">
        <f>'Game Lines'!G193</f>
        <v>0</v>
      </c>
      <c r="H188" s="1">
        <f>'Game Lines'!H193</f>
        <v>0</v>
      </c>
      <c r="I188" s="1">
        <f>'Game Lines'!I193</f>
        <v>0</v>
      </c>
      <c r="J188" s="5">
        <f>'Game Lines'!J193</f>
        <v>0</v>
      </c>
      <c r="K188" s="1" t="e">
        <f t="array" ref="K188">_xlfn.XLOOKUP(DATEVALUE(A188),'Week Lookup Table'!A:A,'Week Lookup Table'!B:B)</f>
        <v>#VALUE!</v>
      </c>
      <c r="L188" s="1">
        <f>'Game Lines'!L193</f>
        <v>0</v>
      </c>
    </row>
    <row r="189" spans="1:12" ht="13" x14ac:dyDescent="0.15">
      <c r="A189" s="5">
        <f>'Game Lines'!A194</f>
        <v>0</v>
      </c>
      <c r="B189" s="1">
        <f>'Game Lines'!B194</f>
        <v>0</v>
      </c>
      <c r="C189" s="1">
        <f>'Game Lines'!C194</f>
        <v>0</v>
      </c>
      <c r="D189" s="1">
        <f>'Game Lines'!D194</f>
        <v>0</v>
      </c>
      <c r="E189" s="1">
        <f>'Game Lines'!E194</f>
        <v>0</v>
      </c>
      <c r="F189" s="1">
        <f>'Game Lines'!F194</f>
        <v>0</v>
      </c>
      <c r="G189" s="1">
        <f>'Game Lines'!G194</f>
        <v>0</v>
      </c>
      <c r="H189" s="1">
        <f>'Game Lines'!H194</f>
        <v>0</v>
      </c>
      <c r="I189" s="1">
        <f>'Game Lines'!I194</f>
        <v>0</v>
      </c>
      <c r="J189" s="5">
        <f>'Game Lines'!J194</f>
        <v>0</v>
      </c>
      <c r="K189" s="1" t="e">
        <f t="array" ref="K189">_xlfn.XLOOKUP(DATEVALUE(A189),'Week Lookup Table'!A:A,'Week Lookup Table'!B:B)</f>
        <v>#VALUE!</v>
      </c>
      <c r="L189" s="1">
        <f>'Game Lines'!L194</f>
        <v>0</v>
      </c>
    </row>
    <row r="190" spans="1:12" ht="13" x14ac:dyDescent="0.15">
      <c r="A190" s="5">
        <f>'Game Lines'!A195</f>
        <v>0</v>
      </c>
      <c r="B190" s="1">
        <f>'Game Lines'!B195</f>
        <v>0</v>
      </c>
      <c r="C190" s="1">
        <f>'Game Lines'!C195</f>
        <v>0</v>
      </c>
      <c r="D190" s="1">
        <f>'Game Lines'!D195</f>
        <v>0</v>
      </c>
      <c r="E190" s="1">
        <f>'Game Lines'!E195</f>
        <v>0</v>
      </c>
      <c r="F190" s="1">
        <f>'Game Lines'!F195</f>
        <v>0</v>
      </c>
      <c r="G190" s="1">
        <f>'Game Lines'!G195</f>
        <v>0</v>
      </c>
      <c r="H190" s="1">
        <f>'Game Lines'!H195</f>
        <v>0</v>
      </c>
      <c r="I190" s="1">
        <f>'Game Lines'!I195</f>
        <v>0</v>
      </c>
      <c r="J190" s="5">
        <f>'Game Lines'!J195</f>
        <v>0</v>
      </c>
      <c r="K190" s="1" t="e">
        <f t="array" ref="K190">_xlfn.XLOOKUP(DATEVALUE(A190),'Week Lookup Table'!A:A,'Week Lookup Table'!B:B)</f>
        <v>#VALUE!</v>
      </c>
      <c r="L190" s="1">
        <f>'Game Lines'!L195</f>
        <v>0</v>
      </c>
    </row>
    <row r="191" spans="1:12" ht="13" x14ac:dyDescent="0.15">
      <c r="A191" s="5">
        <f>'Game Lines'!A196</f>
        <v>0</v>
      </c>
      <c r="B191" s="1">
        <f>'Game Lines'!B196</f>
        <v>0</v>
      </c>
      <c r="C191" s="1">
        <f>'Game Lines'!C196</f>
        <v>0</v>
      </c>
      <c r="D191" s="1">
        <f>'Game Lines'!D196</f>
        <v>0</v>
      </c>
      <c r="E191" s="1">
        <f>'Game Lines'!E196</f>
        <v>0</v>
      </c>
      <c r="F191" s="1">
        <f>'Game Lines'!F196</f>
        <v>0</v>
      </c>
      <c r="G191" s="1">
        <f>'Game Lines'!G196</f>
        <v>0</v>
      </c>
      <c r="H191" s="1">
        <f>'Game Lines'!H196</f>
        <v>0</v>
      </c>
      <c r="I191" s="1">
        <f>'Game Lines'!I196</f>
        <v>0</v>
      </c>
      <c r="J191" s="5">
        <f>'Game Lines'!J196</f>
        <v>0</v>
      </c>
      <c r="K191" s="1" t="e">
        <f t="array" ref="K191">_xlfn.XLOOKUP(DATEVALUE(A191),'Week Lookup Table'!A:A,'Week Lookup Table'!B:B)</f>
        <v>#VALUE!</v>
      </c>
      <c r="L191" s="1">
        <f>'Game Lines'!L196</f>
        <v>0</v>
      </c>
    </row>
    <row r="192" spans="1:12" ht="13" x14ac:dyDescent="0.15">
      <c r="A192" s="5">
        <f>'Game Lines'!A197</f>
        <v>0</v>
      </c>
      <c r="B192" s="1">
        <f>'Game Lines'!B197</f>
        <v>0</v>
      </c>
      <c r="C192" s="1">
        <f>'Game Lines'!C197</f>
        <v>0</v>
      </c>
      <c r="D192" s="1">
        <f>'Game Lines'!D197</f>
        <v>0</v>
      </c>
      <c r="E192" s="1">
        <f>'Game Lines'!E197</f>
        <v>0</v>
      </c>
      <c r="F192" s="1">
        <f>'Game Lines'!F197</f>
        <v>0</v>
      </c>
      <c r="G192" s="1">
        <f>'Game Lines'!G197</f>
        <v>0</v>
      </c>
      <c r="H192" s="1">
        <f>'Game Lines'!H197</f>
        <v>0</v>
      </c>
      <c r="I192" s="1">
        <f>'Game Lines'!I197</f>
        <v>0</v>
      </c>
      <c r="J192" s="5">
        <f>'Game Lines'!J197</f>
        <v>0</v>
      </c>
      <c r="K192" s="1" t="e">
        <f t="array" ref="K192">_xlfn.XLOOKUP(DATEVALUE(A192),'Week Lookup Table'!A:A,'Week Lookup Table'!B:B)</f>
        <v>#VALUE!</v>
      </c>
      <c r="L192" s="1">
        <f>'Game Lines'!L197</f>
        <v>0</v>
      </c>
    </row>
    <row r="193" spans="1:12" ht="13" x14ac:dyDescent="0.15">
      <c r="A193" s="5">
        <f>'Game Lines'!A198</f>
        <v>0</v>
      </c>
      <c r="B193" s="1">
        <f>'Game Lines'!B198</f>
        <v>0</v>
      </c>
      <c r="C193" s="1">
        <f>'Game Lines'!C198</f>
        <v>0</v>
      </c>
      <c r="D193" s="1">
        <f>'Game Lines'!D198</f>
        <v>0</v>
      </c>
      <c r="E193" s="1">
        <f>'Game Lines'!E198</f>
        <v>0</v>
      </c>
      <c r="F193" s="1">
        <f>'Game Lines'!F198</f>
        <v>0</v>
      </c>
      <c r="G193" s="1">
        <f>'Game Lines'!G198</f>
        <v>0</v>
      </c>
      <c r="H193" s="1">
        <f>'Game Lines'!H198</f>
        <v>0</v>
      </c>
      <c r="I193" s="1">
        <f>'Game Lines'!I198</f>
        <v>0</v>
      </c>
      <c r="J193" s="5">
        <f>'Game Lines'!J198</f>
        <v>0</v>
      </c>
      <c r="K193" s="1" t="e">
        <f t="array" ref="K193">_xlfn.XLOOKUP(DATEVALUE(A193),'Week Lookup Table'!A:A,'Week Lookup Table'!B:B)</f>
        <v>#VALUE!</v>
      </c>
      <c r="L193" s="1">
        <f>'Game Lines'!L198</f>
        <v>0</v>
      </c>
    </row>
    <row r="194" spans="1:12" ht="13" x14ac:dyDescent="0.15">
      <c r="A194" s="5">
        <f>'Game Lines'!A199</f>
        <v>0</v>
      </c>
      <c r="B194" s="1">
        <f>'Game Lines'!B199</f>
        <v>0</v>
      </c>
      <c r="C194" s="1">
        <f>'Game Lines'!C199</f>
        <v>0</v>
      </c>
      <c r="D194" s="1">
        <f>'Game Lines'!D199</f>
        <v>0</v>
      </c>
      <c r="E194" s="1">
        <f>'Game Lines'!E199</f>
        <v>0</v>
      </c>
      <c r="F194" s="1">
        <f>'Game Lines'!F199</f>
        <v>0</v>
      </c>
      <c r="G194" s="1">
        <f>'Game Lines'!G199</f>
        <v>0</v>
      </c>
      <c r="H194" s="1">
        <f>'Game Lines'!H199</f>
        <v>0</v>
      </c>
      <c r="I194" s="1">
        <f>'Game Lines'!I199</f>
        <v>0</v>
      </c>
      <c r="J194" s="5">
        <f>'Game Lines'!J199</f>
        <v>0</v>
      </c>
      <c r="K194" s="1" t="e">
        <f t="array" ref="K194">_xlfn.XLOOKUP(DATEVALUE(A194),'Week Lookup Table'!A:A,'Week Lookup Table'!B:B)</f>
        <v>#VALUE!</v>
      </c>
      <c r="L194" s="1">
        <f>'Game Lines'!L199</f>
        <v>0</v>
      </c>
    </row>
    <row r="195" spans="1:12" ht="13" x14ac:dyDescent="0.15">
      <c r="A195" s="5">
        <f>'Game Lines'!A200</f>
        <v>0</v>
      </c>
      <c r="B195" s="1">
        <f>'Game Lines'!B200</f>
        <v>0</v>
      </c>
      <c r="C195" s="1">
        <f>'Game Lines'!C200</f>
        <v>0</v>
      </c>
      <c r="D195" s="1">
        <f>'Game Lines'!D200</f>
        <v>0</v>
      </c>
      <c r="E195" s="1">
        <f>'Game Lines'!E200</f>
        <v>0</v>
      </c>
      <c r="F195" s="1">
        <f>'Game Lines'!F200</f>
        <v>0</v>
      </c>
      <c r="G195" s="1">
        <f>'Game Lines'!G200</f>
        <v>0</v>
      </c>
      <c r="H195" s="1">
        <f>'Game Lines'!H200</f>
        <v>0</v>
      </c>
      <c r="I195" s="1">
        <f>'Game Lines'!I200</f>
        <v>0</v>
      </c>
      <c r="J195" s="5">
        <f>'Game Lines'!J200</f>
        <v>0</v>
      </c>
      <c r="K195" s="1" t="e">
        <f t="array" ref="K195">_xlfn.XLOOKUP(DATEVALUE(A195),'Week Lookup Table'!A:A,'Week Lookup Table'!B:B)</f>
        <v>#VALUE!</v>
      </c>
      <c r="L195" s="1">
        <f>'Game Lines'!L200</f>
        <v>0</v>
      </c>
    </row>
    <row r="196" spans="1:12" ht="13" x14ac:dyDescent="0.15">
      <c r="A196" s="5">
        <f>'Game Lines'!A201</f>
        <v>0</v>
      </c>
      <c r="B196" s="1">
        <f>'Game Lines'!B201</f>
        <v>0</v>
      </c>
      <c r="C196" s="1">
        <f>'Game Lines'!C201</f>
        <v>0</v>
      </c>
      <c r="D196" s="1">
        <f>'Game Lines'!D201</f>
        <v>0</v>
      </c>
      <c r="E196" s="1">
        <f>'Game Lines'!E201</f>
        <v>0</v>
      </c>
      <c r="F196" s="1">
        <f>'Game Lines'!F201</f>
        <v>0</v>
      </c>
      <c r="G196" s="1">
        <f>'Game Lines'!G201</f>
        <v>0</v>
      </c>
      <c r="H196" s="1">
        <f>'Game Lines'!H201</f>
        <v>0</v>
      </c>
      <c r="I196" s="1">
        <f>'Game Lines'!I201</f>
        <v>0</v>
      </c>
      <c r="J196" s="5">
        <f>'Game Lines'!J201</f>
        <v>0</v>
      </c>
      <c r="K196" s="1" t="e">
        <f t="array" ref="K196">_xlfn.XLOOKUP(DATEVALUE(A196),'Week Lookup Table'!A:A,'Week Lookup Table'!B:B)</f>
        <v>#VALUE!</v>
      </c>
      <c r="L196" s="1">
        <f>'Game Lines'!L201</f>
        <v>0</v>
      </c>
    </row>
    <row r="197" spans="1:12" ht="13" x14ac:dyDescent="0.15">
      <c r="A197" s="5">
        <f>'Game Lines'!A202</f>
        <v>0</v>
      </c>
      <c r="B197" s="1">
        <f>'Game Lines'!B202</f>
        <v>0</v>
      </c>
      <c r="C197" s="1">
        <f>'Game Lines'!C202</f>
        <v>0</v>
      </c>
      <c r="D197" s="1">
        <f>'Game Lines'!D202</f>
        <v>0</v>
      </c>
      <c r="E197" s="1">
        <f>'Game Lines'!E202</f>
        <v>0</v>
      </c>
      <c r="F197" s="1">
        <f>'Game Lines'!F202</f>
        <v>0</v>
      </c>
      <c r="G197" s="1">
        <f>'Game Lines'!G202</f>
        <v>0</v>
      </c>
      <c r="H197" s="1">
        <f>'Game Lines'!H202</f>
        <v>0</v>
      </c>
      <c r="I197" s="1">
        <f>'Game Lines'!I202</f>
        <v>0</v>
      </c>
      <c r="J197" s="5">
        <f>'Game Lines'!J202</f>
        <v>0</v>
      </c>
      <c r="K197" s="1" t="e">
        <f t="array" ref="K197">_xlfn.XLOOKUP(DATEVALUE(A197),'Week Lookup Table'!A:A,'Week Lookup Table'!B:B)</f>
        <v>#VALUE!</v>
      </c>
      <c r="L197" s="1">
        <f>'Game Lines'!L202</f>
        <v>0</v>
      </c>
    </row>
    <row r="198" spans="1:12" ht="13" x14ac:dyDescent="0.15">
      <c r="A198" s="5">
        <f>'Game Lines'!A203</f>
        <v>0</v>
      </c>
      <c r="B198" s="1">
        <f>'Game Lines'!B203</f>
        <v>0</v>
      </c>
      <c r="C198" s="1">
        <f>'Game Lines'!C203</f>
        <v>0</v>
      </c>
      <c r="D198" s="1">
        <f>'Game Lines'!D203</f>
        <v>0</v>
      </c>
      <c r="E198" s="1">
        <f>'Game Lines'!E203</f>
        <v>0</v>
      </c>
      <c r="F198" s="1">
        <f>'Game Lines'!F203</f>
        <v>0</v>
      </c>
      <c r="G198" s="1">
        <f>'Game Lines'!G203</f>
        <v>0</v>
      </c>
      <c r="H198" s="1">
        <f>'Game Lines'!H203</f>
        <v>0</v>
      </c>
      <c r="I198" s="1">
        <f>'Game Lines'!I203</f>
        <v>0</v>
      </c>
      <c r="J198" s="5">
        <f>'Game Lines'!J203</f>
        <v>0</v>
      </c>
      <c r="K198" s="1" t="e">
        <f t="array" ref="K198">_xlfn.XLOOKUP(DATEVALUE(A198),'Week Lookup Table'!A:A,'Week Lookup Table'!B:B)</f>
        <v>#VALUE!</v>
      </c>
      <c r="L198" s="1">
        <f>'Game Lines'!L203</f>
        <v>0</v>
      </c>
    </row>
    <row r="199" spans="1:12" ht="13" x14ac:dyDescent="0.15">
      <c r="A199" s="5">
        <f>'Game Lines'!A204</f>
        <v>0</v>
      </c>
      <c r="B199" s="1">
        <f>'Game Lines'!B204</f>
        <v>0</v>
      </c>
      <c r="C199" s="1">
        <f>'Game Lines'!C204</f>
        <v>0</v>
      </c>
      <c r="D199" s="1">
        <f>'Game Lines'!D204</f>
        <v>0</v>
      </c>
      <c r="E199" s="1">
        <f>'Game Lines'!E204</f>
        <v>0</v>
      </c>
      <c r="F199" s="1">
        <f>'Game Lines'!F204</f>
        <v>0</v>
      </c>
      <c r="G199" s="1">
        <f>'Game Lines'!G204</f>
        <v>0</v>
      </c>
      <c r="H199" s="1">
        <f>'Game Lines'!H204</f>
        <v>0</v>
      </c>
      <c r="I199" s="1">
        <f>'Game Lines'!I204</f>
        <v>0</v>
      </c>
      <c r="J199" s="5">
        <f>'Game Lines'!J204</f>
        <v>0</v>
      </c>
      <c r="K199" s="1" t="e">
        <f t="array" ref="K199">_xlfn.XLOOKUP(DATEVALUE(A199),'Week Lookup Table'!A:A,'Week Lookup Table'!B:B)</f>
        <v>#VALUE!</v>
      </c>
      <c r="L199" s="1">
        <f>'Game Lines'!L204</f>
        <v>0</v>
      </c>
    </row>
    <row r="200" spans="1:12" ht="13" x14ac:dyDescent="0.15">
      <c r="A200" s="5">
        <f>'Game Lines'!A205</f>
        <v>0</v>
      </c>
      <c r="B200" s="1">
        <f>'Game Lines'!B205</f>
        <v>0</v>
      </c>
      <c r="C200" s="1">
        <f>'Game Lines'!C205</f>
        <v>0</v>
      </c>
      <c r="D200" s="1">
        <f>'Game Lines'!D205</f>
        <v>0</v>
      </c>
      <c r="E200" s="1">
        <f>'Game Lines'!E205</f>
        <v>0</v>
      </c>
      <c r="F200" s="1">
        <f>'Game Lines'!F205</f>
        <v>0</v>
      </c>
      <c r="G200" s="1">
        <f>'Game Lines'!G205</f>
        <v>0</v>
      </c>
      <c r="H200" s="1">
        <f>'Game Lines'!H205</f>
        <v>0</v>
      </c>
      <c r="I200" s="1">
        <f>'Game Lines'!I205</f>
        <v>0</v>
      </c>
      <c r="J200" s="5">
        <f>'Game Lines'!J205</f>
        <v>0</v>
      </c>
      <c r="K200" s="1" t="e">
        <f t="array" ref="K200">_xlfn.XLOOKUP(DATEVALUE(A200),'Week Lookup Table'!A:A,'Week Lookup Table'!B:B)</f>
        <v>#VALUE!</v>
      </c>
      <c r="L200" s="1">
        <f>'Game Lines'!L205</f>
        <v>0</v>
      </c>
    </row>
    <row r="201" spans="1:12" ht="13" x14ac:dyDescent="0.15">
      <c r="A201" s="5">
        <f>'Game Lines'!A206</f>
        <v>0</v>
      </c>
      <c r="B201" s="1">
        <f>'Game Lines'!B206</f>
        <v>0</v>
      </c>
      <c r="C201" s="1">
        <f>'Game Lines'!C206</f>
        <v>0</v>
      </c>
      <c r="D201" s="1">
        <f>'Game Lines'!D206</f>
        <v>0</v>
      </c>
      <c r="E201" s="1">
        <f>'Game Lines'!E206</f>
        <v>0</v>
      </c>
      <c r="F201" s="1">
        <f>'Game Lines'!F206</f>
        <v>0</v>
      </c>
      <c r="G201" s="1">
        <f>'Game Lines'!G206</f>
        <v>0</v>
      </c>
      <c r="H201" s="1">
        <f>'Game Lines'!H206</f>
        <v>0</v>
      </c>
      <c r="I201" s="1">
        <f>'Game Lines'!I206</f>
        <v>0</v>
      </c>
      <c r="J201" s="5">
        <f>'Game Lines'!J206</f>
        <v>0</v>
      </c>
      <c r="K201" s="1" t="e">
        <f t="array" ref="K201">_xlfn.XLOOKUP(DATEVALUE(A201),'Week Lookup Table'!A:A,'Week Lookup Table'!B:B)</f>
        <v>#VALUE!</v>
      </c>
      <c r="L201" s="1">
        <f>'Game Lines'!L206</f>
        <v>0</v>
      </c>
    </row>
    <row r="202" spans="1:12" ht="13" x14ac:dyDescent="0.15">
      <c r="A202" s="5">
        <f>'Game Lines'!A207</f>
        <v>0</v>
      </c>
      <c r="B202" s="1">
        <f>'Game Lines'!B207</f>
        <v>0</v>
      </c>
      <c r="C202" s="1">
        <f>'Game Lines'!C207</f>
        <v>0</v>
      </c>
      <c r="D202" s="1">
        <f>'Game Lines'!D207</f>
        <v>0</v>
      </c>
      <c r="E202" s="1">
        <f>'Game Lines'!E207</f>
        <v>0</v>
      </c>
      <c r="F202" s="1">
        <f>'Game Lines'!F207</f>
        <v>0</v>
      </c>
      <c r="G202" s="1">
        <f>'Game Lines'!G207</f>
        <v>0</v>
      </c>
      <c r="H202" s="1">
        <f>'Game Lines'!H207</f>
        <v>0</v>
      </c>
      <c r="I202" s="1">
        <f>'Game Lines'!I207</f>
        <v>0</v>
      </c>
      <c r="J202" s="5">
        <f>'Game Lines'!J207</f>
        <v>0</v>
      </c>
      <c r="K202" s="1" t="e">
        <f t="array" ref="K202">_xlfn.XLOOKUP(DATEVALUE(A202),'Week Lookup Table'!A:A,'Week Lookup Table'!B:B)</f>
        <v>#VALUE!</v>
      </c>
      <c r="L202" s="1">
        <f>'Game Lines'!L207</f>
        <v>0</v>
      </c>
    </row>
    <row r="203" spans="1:12" ht="13" x14ac:dyDescent="0.15">
      <c r="A203" s="5">
        <f>'Game Lines'!A208</f>
        <v>0</v>
      </c>
      <c r="B203" s="1">
        <f>'Game Lines'!B208</f>
        <v>0</v>
      </c>
      <c r="C203" s="1">
        <f>'Game Lines'!C208</f>
        <v>0</v>
      </c>
      <c r="D203" s="1">
        <f>'Game Lines'!D208</f>
        <v>0</v>
      </c>
      <c r="E203" s="1">
        <f>'Game Lines'!E208</f>
        <v>0</v>
      </c>
      <c r="F203" s="1">
        <f>'Game Lines'!F208</f>
        <v>0</v>
      </c>
      <c r="G203" s="1">
        <f>'Game Lines'!G208</f>
        <v>0</v>
      </c>
      <c r="H203" s="1">
        <f>'Game Lines'!H208</f>
        <v>0</v>
      </c>
      <c r="I203" s="1">
        <f>'Game Lines'!I208</f>
        <v>0</v>
      </c>
      <c r="J203" s="5">
        <f>'Game Lines'!J208</f>
        <v>0</v>
      </c>
      <c r="K203" s="1" t="e">
        <f t="array" ref="K203">_xlfn.XLOOKUP(DATEVALUE(A203),'Week Lookup Table'!A:A,'Week Lookup Table'!B:B)</f>
        <v>#VALUE!</v>
      </c>
      <c r="L203" s="1">
        <f>'Game Lines'!L208</f>
        <v>0</v>
      </c>
    </row>
    <row r="204" spans="1:12" ht="13" x14ac:dyDescent="0.15">
      <c r="A204" s="5">
        <f>'Game Lines'!A209</f>
        <v>0</v>
      </c>
      <c r="B204" s="1">
        <f>'Game Lines'!B209</f>
        <v>0</v>
      </c>
      <c r="C204" s="1">
        <f>'Game Lines'!C209</f>
        <v>0</v>
      </c>
      <c r="D204" s="1">
        <f>'Game Lines'!D209</f>
        <v>0</v>
      </c>
      <c r="E204" s="1">
        <f>'Game Lines'!E209</f>
        <v>0</v>
      </c>
      <c r="F204" s="1">
        <f>'Game Lines'!F209</f>
        <v>0</v>
      </c>
      <c r="G204" s="1">
        <f>'Game Lines'!G209</f>
        <v>0</v>
      </c>
      <c r="H204" s="1">
        <f>'Game Lines'!H209</f>
        <v>0</v>
      </c>
      <c r="I204" s="1">
        <f>'Game Lines'!I209</f>
        <v>0</v>
      </c>
      <c r="J204" s="5">
        <f>'Game Lines'!J209</f>
        <v>0</v>
      </c>
      <c r="K204" s="1" t="e">
        <f t="array" ref="K204">_xlfn.XLOOKUP(DATEVALUE(A204),'Week Lookup Table'!A:A,'Week Lookup Table'!B:B)</f>
        <v>#VALUE!</v>
      </c>
      <c r="L204" s="1">
        <f>'Game Lines'!L209</f>
        <v>0</v>
      </c>
    </row>
    <row r="205" spans="1:12" ht="13" x14ac:dyDescent="0.15">
      <c r="A205" s="5">
        <f>'Game Lines'!A210</f>
        <v>0</v>
      </c>
      <c r="B205" s="1">
        <f>'Game Lines'!B210</f>
        <v>0</v>
      </c>
      <c r="C205" s="1">
        <f>'Game Lines'!C210</f>
        <v>0</v>
      </c>
      <c r="D205" s="1">
        <f>'Game Lines'!D210</f>
        <v>0</v>
      </c>
      <c r="E205" s="1">
        <f>'Game Lines'!E210</f>
        <v>0</v>
      </c>
      <c r="F205" s="1">
        <f>'Game Lines'!F210</f>
        <v>0</v>
      </c>
      <c r="G205" s="1">
        <f>'Game Lines'!G210</f>
        <v>0</v>
      </c>
      <c r="H205" s="1">
        <f>'Game Lines'!H210</f>
        <v>0</v>
      </c>
      <c r="I205" s="1">
        <f>'Game Lines'!I210</f>
        <v>0</v>
      </c>
      <c r="J205" s="5">
        <f>'Game Lines'!J210</f>
        <v>0</v>
      </c>
      <c r="K205" s="1" t="e">
        <f t="array" ref="K205">_xlfn.XLOOKUP(DATEVALUE(A205),'Week Lookup Table'!A:A,'Week Lookup Table'!B:B)</f>
        <v>#VALUE!</v>
      </c>
      <c r="L205" s="1">
        <f>'Game Lines'!L210</f>
        <v>0</v>
      </c>
    </row>
    <row r="206" spans="1:12" ht="13" x14ac:dyDescent="0.15">
      <c r="A206" s="5">
        <f>'Game Lines'!A211</f>
        <v>0</v>
      </c>
      <c r="B206" s="1">
        <f>'Game Lines'!B211</f>
        <v>0</v>
      </c>
      <c r="C206" s="1">
        <f>'Game Lines'!C211</f>
        <v>0</v>
      </c>
      <c r="D206" s="1">
        <f>'Game Lines'!D211</f>
        <v>0</v>
      </c>
      <c r="E206" s="1">
        <f>'Game Lines'!E211</f>
        <v>0</v>
      </c>
      <c r="F206" s="1">
        <f>'Game Lines'!F211</f>
        <v>0</v>
      </c>
      <c r="G206" s="1">
        <f>'Game Lines'!G211</f>
        <v>0</v>
      </c>
      <c r="H206" s="1">
        <f>'Game Lines'!H211</f>
        <v>0</v>
      </c>
      <c r="I206" s="1">
        <f>'Game Lines'!I211</f>
        <v>0</v>
      </c>
      <c r="J206" s="5">
        <f>'Game Lines'!J211</f>
        <v>0</v>
      </c>
      <c r="K206" s="1" t="e">
        <f t="array" ref="K206">_xlfn.XLOOKUP(DATEVALUE(A206),'Week Lookup Table'!A:A,'Week Lookup Table'!B:B)</f>
        <v>#VALUE!</v>
      </c>
      <c r="L206" s="1">
        <f>'Game Lines'!L211</f>
        <v>0</v>
      </c>
    </row>
    <row r="207" spans="1:12" ht="13" x14ac:dyDescent="0.15">
      <c r="A207" s="5">
        <f>'Game Lines'!A212</f>
        <v>0</v>
      </c>
      <c r="B207" s="1">
        <f>'Game Lines'!B212</f>
        <v>0</v>
      </c>
      <c r="C207" s="1">
        <f>'Game Lines'!C212</f>
        <v>0</v>
      </c>
      <c r="D207" s="1">
        <f>'Game Lines'!D212</f>
        <v>0</v>
      </c>
      <c r="E207" s="1">
        <f>'Game Lines'!E212</f>
        <v>0</v>
      </c>
      <c r="F207" s="1">
        <f>'Game Lines'!F212</f>
        <v>0</v>
      </c>
      <c r="G207" s="1">
        <f>'Game Lines'!G212</f>
        <v>0</v>
      </c>
      <c r="H207" s="1">
        <f>'Game Lines'!H212</f>
        <v>0</v>
      </c>
      <c r="I207" s="1">
        <f>'Game Lines'!I212</f>
        <v>0</v>
      </c>
      <c r="J207" s="5">
        <f>'Game Lines'!J212</f>
        <v>0</v>
      </c>
      <c r="K207" s="1" t="e">
        <f t="array" ref="K207">_xlfn.XLOOKUP(DATEVALUE(A207),'Week Lookup Table'!A:A,'Week Lookup Table'!B:B)</f>
        <v>#VALUE!</v>
      </c>
      <c r="L207" s="1">
        <f>'Game Lines'!L212</f>
        <v>0</v>
      </c>
    </row>
    <row r="208" spans="1:12" ht="13" x14ac:dyDescent="0.15">
      <c r="A208" s="5">
        <f>'Game Lines'!A213</f>
        <v>0</v>
      </c>
      <c r="B208" s="1">
        <f>'Game Lines'!B213</f>
        <v>0</v>
      </c>
      <c r="C208" s="1">
        <f>'Game Lines'!C213</f>
        <v>0</v>
      </c>
      <c r="D208" s="1">
        <f>'Game Lines'!D213</f>
        <v>0</v>
      </c>
      <c r="E208" s="1">
        <f>'Game Lines'!E213</f>
        <v>0</v>
      </c>
      <c r="F208" s="1">
        <f>'Game Lines'!F213</f>
        <v>0</v>
      </c>
      <c r="G208" s="1">
        <f>'Game Lines'!G213</f>
        <v>0</v>
      </c>
      <c r="H208" s="1">
        <f>'Game Lines'!H213</f>
        <v>0</v>
      </c>
      <c r="I208" s="1">
        <f>'Game Lines'!I213</f>
        <v>0</v>
      </c>
      <c r="J208" s="5">
        <f>'Game Lines'!J213</f>
        <v>0</v>
      </c>
      <c r="K208" s="1" t="e">
        <f t="array" ref="K208">_xlfn.XLOOKUP(DATEVALUE(A208),'Week Lookup Table'!A:A,'Week Lookup Table'!B:B)</f>
        <v>#VALUE!</v>
      </c>
      <c r="L208" s="1">
        <f>'Game Lines'!L213</f>
        <v>0</v>
      </c>
    </row>
    <row r="209" spans="1:12" ht="13" x14ac:dyDescent="0.15">
      <c r="A209" s="5">
        <f>'Game Lines'!A214</f>
        <v>0</v>
      </c>
      <c r="B209" s="1">
        <f>'Game Lines'!B214</f>
        <v>0</v>
      </c>
      <c r="C209" s="1">
        <f>'Game Lines'!C214</f>
        <v>0</v>
      </c>
      <c r="D209" s="1">
        <f>'Game Lines'!D214</f>
        <v>0</v>
      </c>
      <c r="E209" s="1">
        <f>'Game Lines'!E214</f>
        <v>0</v>
      </c>
      <c r="F209" s="1">
        <f>'Game Lines'!F214</f>
        <v>0</v>
      </c>
      <c r="G209" s="1">
        <f>'Game Lines'!G214</f>
        <v>0</v>
      </c>
      <c r="H209" s="1">
        <f>'Game Lines'!H214</f>
        <v>0</v>
      </c>
      <c r="I209" s="1">
        <f>'Game Lines'!I214</f>
        <v>0</v>
      </c>
      <c r="J209" s="5">
        <f>'Game Lines'!J214</f>
        <v>0</v>
      </c>
      <c r="K209" s="1" t="e">
        <f t="array" ref="K209">_xlfn.XLOOKUP(DATEVALUE(A209),'Week Lookup Table'!A:A,'Week Lookup Table'!B:B)</f>
        <v>#VALUE!</v>
      </c>
      <c r="L209" s="1">
        <f>'Game Lines'!L214</f>
        <v>0</v>
      </c>
    </row>
    <row r="210" spans="1:12" ht="13" x14ac:dyDescent="0.15">
      <c r="A210" s="5">
        <f>'Game Lines'!A215</f>
        <v>0</v>
      </c>
      <c r="B210" s="1">
        <f>'Game Lines'!B215</f>
        <v>0</v>
      </c>
      <c r="C210" s="1">
        <f>'Game Lines'!C215</f>
        <v>0</v>
      </c>
      <c r="D210" s="1">
        <f>'Game Lines'!D215</f>
        <v>0</v>
      </c>
      <c r="E210" s="1">
        <f>'Game Lines'!E215</f>
        <v>0</v>
      </c>
      <c r="F210" s="1">
        <f>'Game Lines'!F215</f>
        <v>0</v>
      </c>
      <c r="G210" s="1">
        <f>'Game Lines'!G215</f>
        <v>0</v>
      </c>
      <c r="H210" s="1">
        <f>'Game Lines'!H215</f>
        <v>0</v>
      </c>
      <c r="I210" s="1">
        <f>'Game Lines'!I215</f>
        <v>0</v>
      </c>
      <c r="J210" s="5">
        <f>'Game Lines'!J215</f>
        <v>0</v>
      </c>
      <c r="K210" s="1" t="e">
        <f t="array" ref="K210">_xlfn.XLOOKUP(DATEVALUE(A210),'Week Lookup Table'!A:A,'Week Lookup Table'!B:B)</f>
        <v>#VALUE!</v>
      </c>
      <c r="L210" s="1">
        <f>'Game Lines'!L215</f>
        <v>0</v>
      </c>
    </row>
    <row r="211" spans="1:12" ht="13" x14ac:dyDescent="0.15">
      <c r="A211" s="5">
        <f>'Game Lines'!A216</f>
        <v>0</v>
      </c>
      <c r="B211" s="1">
        <f>'Game Lines'!B216</f>
        <v>0</v>
      </c>
      <c r="C211" s="1">
        <f>'Game Lines'!C216</f>
        <v>0</v>
      </c>
      <c r="D211" s="1">
        <f>'Game Lines'!D216</f>
        <v>0</v>
      </c>
      <c r="E211" s="1">
        <f>'Game Lines'!E216</f>
        <v>0</v>
      </c>
      <c r="F211" s="1">
        <f>'Game Lines'!F216</f>
        <v>0</v>
      </c>
      <c r="G211" s="1">
        <f>'Game Lines'!G216</f>
        <v>0</v>
      </c>
      <c r="H211" s="1">
        <f>'Game Lines'!H216</f>
        <v>0</v>
      </c>
      <c r="I211" s="1">
        <f>'Game Lines'!I216</f>
        <v>0</v>
      </c>
      <c r="J211" s="5">
        <f>'Game Lines'!J216</f>
        <v>0</v>
      </c>
      <c r="K211" s="1" t="e">
        <f t="array" ref="K211">_xlfn.XLOOKUP(DATEVALUE(A211),'Week Lookup Table'!A:A,'Week Lookup Table'!B:B)</f>
        <v>#VALUE!</v>
      </c>
      <c r="L211" s="1">
        <f>'Game Lines'!L216</f>
        <v>0</v>
      </c>
    </row>
    <row r="212" spans="1:12" ht="13" x14ac:dyDescent="0.15">
      <c r="A212" s="5">
        <f>'Game Lines'!A217</f>
        <v>0</v>
      </c>
      <c r="B212" s="1">
        <f>'Game Lines'!B217</f>
        <v>0</v>
      </c>
      <c r="C212" s="1">
        <f>'Game Lines'!C217</f>
        <v>0</v>
      </c>
      <c r="D212" s="1">
        <f>'Game Lines'!D217</f>
        <v>0</v>
      </c>
      <c r="E212" s="1">
        <f>'Game Lines'!E217</f>
        <v>0</v>
      </c>
      <c r="F212" s="1">
        <f>'Game Lines'!F217</f>
        <v>0</v>
      </c>
      <c r="G212" s="1">
        <f>'Game Lines'!G217</f>
        <v>0</v>
      </c>
      <c r="H212" s="1">
        <f>'Game Lines'!H217</f>
        <v>0</v>
      </c>
      <c r="I212" s="1">
        <f>'Game Lines'!I217</f>
        <v>0</v>
      </c>
      <c r="J212" s="5">
        <f>'Game Lines'!J217</f>
        <v>0</v>
      </c>
      <c r="K212" s="1" t="e">
        <f t="array" ref="K212">_xlfn.XLOOKUP(DATEVALUE(A212),'Week Lookup Table'!A:A,'Week Lookup Table'!B:B)</f>
        <v>#VALUE!</v>
      </c>
      <c r="L212" s="1">
        <f>'Game Lines'!L217</f>
        <v>0</v>
      </c>
    </row>
    <row r="213" spans="1:12" ht="13" x14ac:dyDescent="0.15">
      <c r="A213" s="5">
        <f>'Game Lines'!A218</f>
        <v>0</v>
      </c>
      <c r="B213" s="1">
        <f>'Game Lines'!B218</f>
        <v>0</v>
      </c>
      <c r="C213" s="1">
        <f>'Game Lines'!C218</f>
        <v>0</v>
      </c>
      <c r="D213" s="1">
        <f>'Game Lines'!D218</f>
        <v>0</v>
      </c>
      <c r="E213" s="1">
        <f>'Game Lines'!E218</f>
        <v>0</v>
      </c>
      <c r="F213" s="1">
        <f>'Game Lines'!F218</f>
        <v>0</v>
      </c>
      <c r="G213" s="1">
        <f>'Game Lines'!G218</f>
        <v>0</v>
      </c>
      <c r="H213" s="1">
        <f>'Game Lines'!H218</f>
        <v>0</v>
      </c>
      <c r="I213" s="1">
        <f>'Game Lines'!I218</f>
        <v>0</v>
      </c>
      <c r="J213" s="5">
        <f>'Game Lines'!J218</f>
        <v>0</v>
      </c>
      <c r="K213" s="1" t="e">
        <f t="array" ref="K213">_xlfn.XLOOKUP(DATEVALUE(A213),'Week Lookup Table'!A:A,'Week Lookup Table'!B:B)</f>
        <v>#VALUE!</v>
      </c>
      <c r="L213" s="1">
        <f>'Game Lines'!L218</f>
        <v>0</v>
      </c>
    </row>
    <row r="214" spans="1:12" ht="13" x14ac:dyDescent="0.15">
      <c r="A214" s="5">
        <f>'Game Lines'!A219</f>
        <v>0</v>
      </c>
      <c r="B214" s="1">
        <f>'Game Lines'!B219</f>
        <v>0</v>
      </c>
      <c r="C214" s="1">
        <f>'Game Lines'!C219</f>
        <v>0</v>
      </c>
      <c r="D214" s="1">
        <f>'Game Lines'!D219</f>
        <v>0</v>
      </c>
      <c r="E214" s="1">
        <f>'Game Lines'!E219</f>
        <v>0</v>
      </c>
      <c r="F214" s="1">
        <f>'Game Lines'!F219</f>
        <v>0</v>
      </c>
      <c r="G214" s="1">
        <f>'Game Lines'!G219</f>
        <v>0</v>
      </c>
      <c r="H214" s="1">
        <f>'Game Lines'!H219</f>
        <v>0</v>
      </c>
      <c r="I214" s="1">
        <f>'Game Lines'!I219</f>
        <v>0</v>
      </c>
      <c r="J214" s="5">
        <f>'Game Lines'!J219</f>
        <v>0</v>
      </c>
      <c r="K214" s="1" t="e">
        <f t="array" ref="K214">_xlfn.XLOOKUP(DATEVALUE(A214),'Week Lookup Table'!A:A,'Week Lookup Table'!B:B)</f>
        <v>#VALUE!</v>
      </c>
      <c r="L214" s="1">
        <f>'Game Lines'!L219</f>
        <v>0</v>
      </c>
    </row>
    <row r="215" spans="1:12" ht="13" x14ac:dyDescent="0.15">
      <c r="A215" s="5">
        <f>'Game Lines'!A220</f>
        <v>0</v>
      </c>
      <c r="B215" s="1">
        <f>'Game Lines'!B220</f>
        <v>0</v>
      </c>
      <c r="C215" s="1">
        <f>'Game Lines'!C220</f>
        <v>0</v>
      </c>
      <c r="D215" s="1">
        <f>'Game Lines'!D220</f>
        <v>0</v>
      </c>
      <c r="E215" s="1">
        <f>'Game Lines'!E220</f>
        <v>0</v>
      </c>
      <c r="F215" s="1">
        <f>'Game Lines'!F220</f>
        <v>0</v>
      </c>
      <c r="G215" s="1">
        <f>'Game Lines'!G220</f>
        <v>0</v>
      </c>
      <c r="H215" s="1">
        <f>'Game Lines'!H220</f>
        <v>0</v>
      </c>
      <c r="I215" s="1">
        <f>'Game Lines'!I220</f>
        <v>0</v>
      </c>
      <c r="J215" s="5">
        <f>'Game Lines'!J220</f>
        <v>0</v>
      </c>
      <c r="K215" s="1" t="e">
        <f t="array" ref="K215">_xlfn.XLOOKUP(DATEVALUE(A215),'Week Lookup Table'!A:A,'Week Lookup Table'!B:B)</f>
        <v>#VALUE!</v>
      </c>
      <c r="L215" s="1">
        <f>'Game Lines'!L220</f>
        <v>0</v>
      </c>
    </row>
    <row r="216" spans="1:12" ht="13" x14ac:dyDescent="0.15">
      <c r="A216" s="5">
        <f>'Game Lines'!A221</f>
        <v>0</v>
      </c>
      <c r="B216" s="1">
        <f>'Game Lines'!B221</f>
        <v>0</v>
      </c>
      <c r="C216" s="1">
        <f>'Game Lines'!C221</f>
        <v>0</v>
      </c>
      <c r="D216" s="1">
        <f>'Game Lines'!D221</f>
        <v>0</v>
      </c>
      <c r="E216" s="1">
        <f>'Game Lines'!E221</f>
        <v>0</v>
      </c>
      <c r="F216" s="1">
        <f>'Game Lines'!F221</f>
        <v>0</v>
      </c>
      <c r="G216" s="1">
        <f>'Game Lines'!G221</f>
        <v>0</v>
      </c>
      <c r="H216" s="1">
        <f>'Game Lines'!H221</f>
        <v>0</v>
      </c>
      <c r="I216" s="1">
        <f>'Game Lines'!I221</f>
        <v>0</v>
      </c>
      <c r="J216" s="5">
        <f>'Game Lines'!J221</f>
        <v>0</v>
      </c>
      <c r="K216" s="1" t="e">
        <f t="array" ref="K216">_xlfn.XLOOKUP(DATEVALUE(A216),'Week Lookup Table'!A:A,'Week Lookup Table'!B:B)</f>
        <v>#VALUE!</v>
      </c>
      <c r="L216" s="1">
        <f>'Game Lines'!L221</f>
        <v>0</v>
      </c>
    </row>
    <row r="217" spans="1:12" ht="13" x14ac:dyDescent="0.15">
      <c r="A217" s="5">
        <f>'Game Lines'!A222</f>
        <v>0</v>
      </c>
      <c r="B217" s="1">
        <f>'Game Lines'!B222</f>
        <v>0</v>
      </c>
      <c r="C217" s="1">
        <f>'Game Lines'!C222</f>
        <v>0</v>
      </c>
      <c r="D217" s="1">
        <f>'Game Lines'!D222</f>
        <v>0</v>
      </c>
      <c r="E217" s="1">
        <f>'Game Lines'!E222</f>
        <v>0</v>
      </c>
      <c r="F217" s="1">
        <f>'Game Lines'!F222</f>
        <v>0</v>
      </c>
      <c r="G217" s="1">
        <f>'Game Lines'!G222</f>
        <v>0</v>
      </c>
      <c r="H217" s="1">
        <f>'Game Lines'!H222</f>
        <v>0</v>
      </c>
      <c r="I217" s="1">
        <f>'Game Lines'!I222</f>
        <v>0</v>
      </c>
      <c r="J217" s="5">
        <f>'Game Lines'!J222</f>
        <v>0</v>
      </c>
      <c r="K217" s="1" t="e">
        <f t="array" ref="K217">_xlfn.XLOOKUP(DATEVALUE(A217),'Week Lookup Table'!A:A,'Week Lookup Table'!B:B)</f>
        <v>#VALUE!</v>
      </c>
      <c r="L217" s="1">
        <f>'Game Lines'!L222</f>
        <v>0</v>
      </c>
    </row>
    <row r="218" spans="1:12" ht="13" x14ac:dyDescent="0.15">
      <c r="A218" s="5">
        <f>'Game Lines'!A223</f>
        <v>0</v>
      </c>
      <c r="B218" s="1">
        <f>'Game Lines'!B223</f>
        <v>0</v>
      </c>
      <c r="C218" s="1">
        <f>'Game Lines'!C223</f>
        <v>0</v>
      </c>
      <c r="D218" s="1">
        <f>'Game Lines'!D223</f>
        <v>0</v>
      </c>
      <c r="E218" s="1">
        <f>'Game Lines'!E223</f>
        <v>0</v>
      </c>
      <c r="F218" s="1">
        <f>'Game Lines'!F223</f>
        <v>0</v>
      </c>
      <c r="G218" s="1">
        <f>'Game Lines'!G223</f>
        <v>0</v>
      </c>
      <c r="H218" s="1">
        <f>'Game Lines'!H223</f>
        <v>0</v>
      </c>
      <c r="I218" s="1">
        <f>'Game Lines'!I223</f>
        <v>0</v>
      </c>
      <c r="J218" s="5">
        <f>'Game Lines'!J223</f>
        <v>0</v>
      </c>
      <c r="K218" s="1" t="e">
        <f t="array" ref="K218">_xlfn.XLOOKUP(DATEVALUE(A218),'Week Lookup Table'!A:A,'Week Lookup Table'!B:B)</f>
        <v>#VALUE!</v>
      </c>
      <c r="L218" s="1">
        <f>'Game Lines'!L223</f>
        <v>0</v>
      </c>
    </row>
    <row r="219" spans="1:12" ht="13" x14ac:dyDescent="0.15">
      <c r="A219" s="5">
        <f>'Game Lines'!A224</f>
        <v>0</v>
      </c>
      <c r="B219" s="1">
        <f>'Game Lines'!B224</f>
        <v>0</v>
      </c>
      <c r="C219" s="1">
        <f>'Game Lines'!C224</f>
        <v>0</v>
      </c>
      <c r="D219" s="1">
        <f>'Game Lines'!D224</f>
        <v>0</v>
      </c>
      <c r="E219" s="1">
        <f>'Game Lines'!E224</f>
        <v>0</v>
      </c>
      <c r="F219" s="1">
        <f>'Game Lines'!F224</f>
        <v>0</v>
      </c>
      <c r="G219" s="1">
        <f>'Game Lines'!G224</f>
        <v>0</v>
      </c>
      <c r="H219" s="1">
        <f>'Game Lines'!H224</f>
        <v>0</v>
      </c>
      <c r="I219" s="1">
        <f>'Game Lines'!I224</f>
        <v>0</v>
      </c>
      <c r="J219" s="5">
        <f>'Game Lines'!J224</f>
        <v>0</v>
      </c>
      <c r="K219" s="1" t="e">
        <f t="array" ref="K219">_xlfn.XLOOKUP(DATEVALUE(A219),'Week Lookup Table'!A:A,'Week Lookup Table'!B:B)</f>
        <v>#VALUE!</v>
      </c>
      <c r="L219" s="1">
        <f>'Game Lines'!L224</f>
        <v>0</v>
      </c>
    </row>
    <row r="220" spans="1:12" ht="13" x14ac:dyDescent="0.15">
      <c r="A220" s="5">
        <f>'Game Lines'!A225</f>
        <v>0</v>
      </c>
      <c r="B220" s="1">
        <f>'Game Lines'!B225</f>
        <v>0</v>
      </c>
      <c r="C220" s="1">
        <f>'Game Lines'!C225</f>
        <v>0</v>
      </c>
      <c r="D220" s="1">
        <f>'Game Lines'!D225</f>
        <v>0</v>
      </c>
      <c r="E220" s="1">
        <f>'Game Lines'!E225</f>
        <v>0</v>
      </c>
      <c r="F220" s="1">
        <f>'Game Lines'!F225</f>
        <v>0</v>
      </c>
      <c r="G220" s="1">
        <f>'Game Lines'!G225</f>
        <v>0</v>
      </c>
      <c r="H220" s="1">
        <f>'Game Lines'!H225</f>
        <v>0</v>
      </c>
      <c r="I220" s="1">
        <f>'Game Lines'!I225</f>
        <v>0</v>
      </c>
      <c r="J220" s="5">
        <f>'Game Lines'!J225</f>
        <v>0</v>
      </c>
      <c r="K220" s="1" t="e">
        <f t="array" ref="K220">_xlfn.XLOOKUP(DATEVALUE(A220),'Week Lookup Table'!A:A,'Week Lookup Table'!B:B)</f>
        <v>#VALUE!</v>
      </c>
      <c r="L220" s="1">
        <f>'Game Lines'!L225</f>
        <v>0</v>
      </c>
    </row>
    <row r="221" spans="1:12" ht="13" x14ac:dyDescent="0.15">
      <c r="A221" s="5">
        <f>'Game Lines'!A226</f>
        <v>0</v>
      </c>
      <c r="B221" s="1">
        <f>'Game Lines'!B226</f>
        <v>0</v>
      </c>
      <c r="C221" s="1">
        <f>'Game Lines'!C226</f>
        <v>0</v>
      </c>
      <c r="D221" s="1">
        <f>'Game Lines'!D226</f>
        <v>0</v>
      </c>
      <c r="E221" s="1">
        <f>'Game Lines'!E226</f>
        <v>0</v>
      </c>
      <c r="F221" s="1">
        <f>'Game Lines'!F226</f>
        <v>0</v>
      </c>
      <c r="G221" s="1">
        <f>'Game Lines'!G226</f>
        <v>0</v>
      </c>
      <c r="H221" s="1">
        <f>'Game Lines'!H226</f>
        <v>0</v>
      </c>
      <c r="I221" s="1">
        <f>'Game Lines'!I226</f>
        <v>0</v>
      </c>
      <c r="J221" s="5">
        <f>'Game Lines'!J226</f>
        <v>0</v>
      </c>
      <c r="K221" s="1" t="e">
        <f t="array" ref="K221">_xlfn.XLOOKUP(DATEVALUE(A221),'Week Lookup Table'!A:A,'Week Lookup Table'!B:B)</f>
        <v>#VALUE!</v>
      </c>
      <c r="L221" s="1">
        <f>'Game Lines'!L226</f>
        <v>0</v>
      </c>
    </row>
    <row r="222" spans="1:12" ht="13" x14ac:dyDescent="0.15">
      <c r="A222" s="5">
        <f>'Game Lines'!A227</f>
        <v>0</v>
      </c>
      <c r="B222" s="1">
        <f>'Game Lines'!B227</f>
        <v>0</v>
      </c>
      <c r="C222" s="1">
        <f>'Game Lines'!C227</f>
        <v>0</v>
      </c>
      <c r="D222" s="1">
        <f>'Game Lines'!D227</f>
        <v>0</v>
      </c>
      <c r="E222" s="1">
        <f>'Game Lines'!E227</f>
        <v>0</v>
      </c>
      <c r="F222" s="1">
        <f>'Game Lines'!F227</f>
        <v>0</v>
      </c>
      <c r="G222" s="1">
        <f>'Game Lines'!G227</f>
        <v>0</v>
      </c>
      <c r="H222" s="1">
        <f>'Game Lines'!H227</f>
        <v>0</v>
      </c>
      <c r="I222" s="1">
        <f>'Game Lines'!I227</f>
        <v>0</v>
      </c>
      <c r="J222" s="5">
        <f>'Game Lines'!J227</f>
        <v>0</v>
      </c>
      <c r="K222" s="1" t="e">
        <f t="array" ref="K222">_xlfn.XLOOKUP(DATEVALUE(A222),'Week Lookup Table'!A:A,'Week Lookup Table'!B:B)</f>
        <v>#VALUE!</v>
      </c>
      <c r="L222" s="1">
        <f>'Game Lines'!L227</f>
        <v>0</v>
      </c>
    </row>
    <row r="223" spans="1:12" ht="13" x14ac:dyDescent="0.15">
      <c r="A223" s="5">
        <f>'Game Lines'!A228</f>
        <v>0</v>
      </c>
      <c r="B223" s="1">
        <f>'Game Lines'!B228</f>
        <v>0</v>
      </c>
      <c r="C223" s="1">
        <f>'Game Lines'!C228</f>
        <v>0</v>
      </c>
      <c r="D223" s="1">
        <f>'Game Lines'!D228</f>
        <v>0</v>
      </c>
      <c r="E223" s="1">
        <f>'Game Lines'!E228</f>
        <v>0</v>
      </c>
      <c r="F223" s="1">
        <f>'Game Lines'!F228</f>
        <v>0</v>
      </c>
      <c r="G223" s="1">
        <f>'Game Lines'!G228</f>
        <v>0</v>
      </c>
      <c r="H223" s="1">
        <f>'Game Lines'!H228</f>
        <v>0</v>
      </c>
      <c r="I223" s="1">
        <f>'Game Lines'!I228</f>
        <v>0</v>
      </c>
      <c r="J223" s="5">
        <f>'Game Lines'!J228</f>
        <v>0</v>
      </c>
      <c r="K223" s="1" t="e">
        <f t="array" ref="K223">_xlfn.XLOOKUP(DATEVALUE(A223),'Week Lookup Table'!A:A,'Week Lookup Table'!B:B)</f>
        <v>#VALUE!</v>
      </c>
      <c r="L223" s="1">
        <f>'Game Lines'!L228</f>
        <v>0</v>
      </c>
    </row>
    <row r="224" spans="1:12" ht="13" x14ac:dyDescent="0.15">
      <c r="A224" s="5">
        <f>'Game Lines'!A229</f>
        <v>0</v>
      </c>
      <c r="B224" s="1">
        <f>'Game Lines'!B229</f>
        <v>0</v>
      </c>
      <c r="C224" s="1">
        <f>'Game Lines'!C229</f>
        <v>0</v>
      </c>
      <c r="D224" s="1">
        <f>'Game Lines'!D229</f>
        <v>0</v>
      </c>
      <c r="E224" s="1">
        <f>'Game Lines'!E229</f>
        <v>0</v>
      </c>
      <c r="F224" s="1">
        <f>'Game Lines'!F229</f>
        <v>0</v>
      </c>
      <c r="G224" s="1">
        <f>'Game Lines'!G229</f>
        <v>0</v>
      </c>
      <c r="H224" s="1">
        <f>'Game Lines'!H229</f>
        <v>0</v>
      </c>
      <c r="I224" s="1">
        <f>'Game Lines'!I229</f>
        <v>0</v>
      </c>
      <c r="J224" s="5">
        <f>'Game Lines'!J229</f>
        <v>0</v>
      </c>
      <c r="K224" s="1" t="e">
        <f t="array" ref="K224">_xlfn.XLOOKUP(DATEVALUE(A224),'Week Lookup Table'!A:A,'Week Lookup Table'!B:B)</f>
        <v>#VALUE!</v>
      </c>
      <c r="L224" s="1">
        <f>'Game Lines'!L229</f>
        <v>0</v>
      </c>
    </row>
    <row r="225" spans="1:12" ht="13" x14ac:dyDescent="0.15">
      <c r="A225" s="5">
        <f>'Game Lines'!A230</f>
        <v>0</v>
      </c>
      <c r="B225" s="1">
        <f>'Game Lines'!B230</f>
        <v>0</v>
      </c>
      <c r="C225" s="1">
        <f>'Game Lines'!C230</f>
        <v>0</v>
      </c>
      <c r="D225" s="1">
        <f>'Game Lines'!D230</f>
        <v>0</v>
      </c>
      <c r="E225" s="1">
        <f>'Game Lines'!E230</f>
        <v>0</v>
      </c>
      <c r="F225" s="1">
        <f>'Game Lines'!F230</f>
        <v>0</v>
      </c>
      <c r="G225" s="1">
        <f>'Game Lines'!G230</f>
        <v>0</v>
      </c>
      <c r="H225" s="1">
        <f>'Game Lines'!H230</f>
        <v>0</v>
      </c>
      <c r="I225" s="1">
        <f>'Game Lines'!I230</f>
        <v>0</v>
      </c>
      <c r="J225" s="5">
        <f>'Game Lines'!J230</f>
        <v>0</v>
      </c>
      <c r="K225" s="1" t="e">
        <f t="array" ref="K225">_xlfn.XLOOKUP(DATEVALUE(A225),'Week Lookup Table'!A:A,'Week Lookup Table'!B:B)</f>
        <v>#VALUE!</v>
      </c>
      <c r="L225" s="1">
        <f>'Game Lines'!L230</f>
        <v>0</v>
      </c>
    </row>
    <row r="226" spans="1:12" ht="13" x14ac:dyDescent="0.15">
      <c r="A226" s="5">
        <f>'Game Lines'!A231</f>
        <v>0</v>
      </c>
      <c r="B226" s="1">
        <f>'Game Lines'!B231</f>
        <v>0</v>
      </c>
      <c r="C226" s="1">
        <f>'Game Lines'!C231</f>
        <v>0</v>
      </c>
      <c r="D226" s="1">
        <f>'Game Lines'!D231</f>
        <v>0</v>
      </c>
      <c r="E226" s="1">
        <f>'Game Lines'!E231</f>
        <v>0</v>
      </c>
      <c r="F226" s="1">
        <f>'Game Lines'!F231</f>
        <v>0</v>
      </c>
      <c r="G226" s="1">
        <f>'Game Lines'!G231</f>
        <v>0</v>
      </c>
      <c r="H226" s="1">
        <f>'Game Lines'!H231</f>
        <v>0</v>
      </c>
      <c r="I226" s="1">
        <f>'Game Lines'!I231</f>
        <v>0</v>
      </c>
      <c r="J226" s="5">
        <f>'Game Lines'!J231</f>
        <v>0</v>
      </c>
      <c r="K226" s="1" t="e">
        <f t="array" ref="K226">_xlfn.XLOOKUP(DATEVALUE(A226),'Week Lookup Table'!A:A,'Week Lookup Table'!B:B)</f>
        <v>#VALUE!</v>
      </c>
      <c r="L226" s="1">
        <f>'Game Lines'!L231</f>
        <v>0</v>
      </c>
    </row>
    <row r="227" spans="1:12" ht="13" x14ac:dyDescent="0.15">
      <c r="A227" s="5">
        <f>'Game Lines'!A232</f>
        <v>0</v>
      </c>
      <c r="B227" s="1">
        <f>'Game Lines'!B232</f>
        <v>0</v>
      </c>
      <c r="C227" s="1">
        <f>'Game Lines'!C232</f>
        <v>0</v>
      </c>
      <c r="D227" s="1">
        <f>'Game Lines'!D232</f>
        <v>0</v>
      </c>
      <c r="E227" s="1">
        <f>'Game Lines'!E232</f>
        <v>0</v>
      </c>
      <c r="F227" s="1">
        <f>'Game Lines'!F232</f>
        <v>0</v>
      </c>
      <c r="G227" s="1">
        <f>'Game Lines'!G232</f>
        <v>0</v>
      </c>
      <c r="H227" s="1">
        <f>'Game Lines'!H232</f>
        <v>0</v>
      </c>
      <c r="I227" s="1">
        <f>'Game Lines'!I232</f>
        <v>0</v>
      </c>
      <c r="J227" s="5">
        <f>'Game Lines'!J232</f>
        <v>0</v>
      </c>
      <c r="K227" s="1" t="e">
        <f t="array" ref="K227">_xlfn.XLOOKUP(DATEVALUE(A227),'Week Lookup Table'!A:A,'Week Lookup Table'!B:B)</f>
        <v>#VALUE!</v>
      </c>
      <c r="L227" s="1">
        <f>'Game Lines'!L232</f>
        <v>0</v>
      </c>
    </row>
    <row r="228" spans="1:12" ht="13" x14ac:dyDescent="0.15">
      <c r="A228" s="5">
        <f>'Game Lines'!A233</f>
        <v>0</v>
      </c>
      <c r="B228" s="1">
        <f>'Game Lines'!B233</f>
        <v>0</v>
      </c>
      <c r="C228" s="1">
        <f>'Game Lines'!C233</f>
        <v>0</v>
      </c>
      <c r="D228" s="1">
        <f>'Game Lines'!D233</f>
        <v>0</v>
      </c>
      <c r="E228" s="1">
        <f>'Game Lines'!E233</f>
        <v>0</v>
      </c>
      <c r="F228" s="1">
        <f>'Game Lines'!F233</f>
        <v>0</v>
      </c>
      <c r="G228" s="1">
        <f>'Game Lines'!G233</f>
        <v>0</v>
      </c>
      <c r="H228" s="1">
        <f>'Game Lines'!H233</f>
        <v>0</v>
      </c>
      <c r="I228" s="1">
        <f>'Game Lines'!I233</f>
        <v>0</v>
      </c>
      <c r="J228" s="5">
        <f>'Game Lines'!J233</f>
        <v>0</v>
      </c>
      <c r="K228" s="1" t="e">
        <f t="array" ref="K228">_xlfn.XLOOKUP(DATEVALUE(A228),'Week Lookup Table'!A:A,'Week Lookup Table'!B:B)</f>
        <v>#VALUE!</v>
      </c>
      <c r="L228" s="1">
        <f>'Game Lines'!L233</f>
        <v>0</v>
      </c>
    </row>
    <row r="229" spans="1:12" ht="13" x14ac:dyDescent="0.15">
      <c r="A229" s="5">
        <f>'Game Lines'!A234</f>
        <v>0</v>
      </c>
      <c r="B229" s="1">
        <f>'Game Lines'!B234</f>
        <v>0</v>
      </c>
      <c r="C229" s="1">
        <f>'Game Lines'!C234</f>
        <v>0</v>
      </c>
      <c r="D229" s="1">
        <f>'Game Lines'!D234</f>
        <v>0</v>
      </c>
      <c r="E229" s="1">
        <f>'Game Lines'!E234</f>
        <v>0</v>
      </c>
      <c r="F229" s="1">
        <f>'Game Lines'!F234</f>
        <v>0</v>
      </c>
      <c r="G229" s="1">
        <f>'Game Lines'!G234</f>
        <v>0</v>
      </c>
      <c r="H229" s="1">
        <f>'Game Lines'!H234</f>
        <v>0</v>
      </c>
      <c r="I229" s="1">
        <f>'Game Lines'!I234</f>
        <v>0</v>
      </c>
      <c r="J229" s="5">
        <f>'Game Lines'!J234</f>
        <v>0</v>
      </c>
      <c r="K229" s="1" t="e">
        <f t="array" ref="K229">_xlfn.XLOOKUP(DATEVALUE(A229),'Week Lookup Table'!A:A,'Week Lookup Table'!B:B)</f>
        <v>#VALUE!</v>
      </c>
      <c r="L229" s="1">
        <f>'Game Lines'!L234</f>
        <v>0</v>
      </c>
    </row>
    <row r="230" spans="1:12" ht="13" x14ac:dyDescent="0.15">
      <c r="A230" s="5">
        <f>'Game Lines'!A235</f>
        <v>0</v>
      </c>
      <c r="B230" s="1">
        <f>'Game Lines'!B235</f>
        <v>0</v>
      </c>
      <c r="C230" s="1">
        <f>'Game Lines'!C235</f>
        <v>0</v>
      </c>
      <c r="D230" s="1">
        <f>'Game Lines'!D235</f>
        <v>0</v>
      </c>
      <c r="E230" s="1">
        <f>'Game Lines'!E235</f>
        <v>0</v>
      </c>
      <c r="F230" s="1">
        <f>'Game Lines'!F235</f>
        <v>0</v>
      </c>
      <c r="G230" s="1">
        <f>'Game Lines'!G235</f>
        <v>0</v>
      </c>
      <c r="H230" s="1">
        <f>'Game Lines'!H235</f>
        <v>0</v>
      </c>
      <c r="I230" s="1">
        <f>'Game Lines'!I235</f>
        <v>0</v>
      </c>
      <c r="J230" s="5">
        <f>'Game Lines'!J235</f>
        <v>0</v>
      </c>
      <c r="K230" s="1" t="e">
        <f t="array" ref="K230">_xlfn.XLOOKUP(DATEVALUE(A230),'Week Lookup Table'!A:A,'Week Lookup Table'!B:B)</f>
        <v>#VALUE!</v>
      </c>
      <c r="L230" s="1">
        <f>'Game Lines'!L235</f>
        <v>0</v>
      </c>
    </row>
    <row r="231" spans="1:12" ht="13" x14ac:dyDescent="0.15">
      <c r="A231" s="5">
        <f>'Game Lines'!A236</f>
        <v>0</v>
      </c>
      <c r="B231" s="1">
        <f>'Game Lines'!B236</f>
        <v>0</v>
      </c>
      <c r="C231" s="1">
        <f>'Game Lines'!C236</f>
        <v>0</v>
      </c>
      <c r="D231" s="1">
        <f>'Game Lines'!D236</f>
        <v>0</v>
      </c>
      <c r="E231" s="1">
        <f>'Game Lines'!E236</f>
        <v>0</v>
      </c>
      <c r="F231" s="1">
        <f>'Game Lines'!F236</f>
        <v>0</v>
      </c>
      <c r="G231" s="1">
        <f>'Game Lines'!G236</f>
        <v>0</v>
      </c>
      <c r="H231" s="1">
        <f>'Game Lines'!H236</f>
        <v>0</v>
      </c>
      <c r="I231" s="1">
        <f>'Game Lines'!I236</f>
        <v>0</v>
      </c>
      <c r="J231" s="5">
        <f>'Game Lines'!J236</f>
        <v>0</v>
      </c>
      <c r="K231" s="1" t="e">
        <f t="array" ref="K231">_xlfn.XLOOKUP(DATEVALUE(A231),'Week Lookup Table'!A:A,'Week Lookup Table'!B:B)</f>
        <v>#VALUE!</v>
      </c>
      <c r="L231" s="1">
        <f>'Game Lines'!L236</f>
        <v>0</v>
      </c>
    </row>
    <row r="232" spans="1:12" ht="13" x14ac:dyDescent="0.15">
      <c r="A232" s="5">
        <f>'Game Lines'!A237</f>
        <v>0</v>
      </c>
      <c r="B232" s="1">
        <f>'Game Lines'!B237</f>
        <v>0</v>
      </c>
      <c r="C232" s="1">
        <f>'Game Lines'!C237</f>
        <v>0</v>
      </c>
      <c r="D232" s="1">
        <f>'Game Lines'!D237</f>
        <v>0</v>
      </c>
      <c r="E232" s="1">
        <f>'Game Lines'!E237</f>
        <v>0</v>
      </c>
      <c r="F232" s="1">
        <f>'Game Lines'!F237</f>
        <v>0</v>
      </c>
      <c r="G232" s="1">
        <f>'Game Lines'!G237</f>
        <v>0</v>
      </c>
      <c r="H232" s="1">
        <f>'Game Lines'!H237</f>
        <v>0</v>
      </c>
      <c r="I232" s="1">
        <f>'Game Lines'!I237</f>
        <v>0</v>
      </c>
      <c r="J232" s="5">
        <f>'Game Lines'!J237</f>
        <v>0</v>
      </c>
      <c r="K232" s="1" t="e">
        <f t="array" ref="K232">_xlfn.XLOOKUP(DATEVALUE(A232),'Week Lookup Table'!A:A,'Week Lookup Table'!B:B)</f>
        <v>#VALUE!</v>
      </c>
      <c r="L232" s="1">
        <f>'Game Lines'!L237</f>
        <v>0</v>
      </c>
    </row>
    <row r="233" spans="1:12" ht="13" x14ac:dyDescent="0.15">
      <c r="A233" s="5">
        <f>'Game Lines'!A238</f>
        <v>0</v>
      </c>
      <c r="B233" s="1">
        <f>'Game Lines'!B238</f>
        <v>0</v>
      </c>
      <c r="C233" s="1">
        <f>'Game Lines'!C238</f>
        <v>0</v>
      </c>
      <c r="D233" s="1">
        <f>'Game Lines'!D238</f>
        <v>0</v>
      </c>
      <c r="E233" s="1">
        <f>'Game Lines'!E238</f>
        <v>0</v>
      </c>
      <c r="F233" s="1">
        <f>'Game Lines'!F238</f>
        <v>0</v>
      </c>
      <c r="G233" s="1">
        <f>'Game Lines'!G238</f>
        <v>0</v>
      </c>
      <c r="H233" s="1">
        <f>'Game Lines'!H238</f>
        <v>0</v>
      </c>
      <c r="I233" s="1">
        <f>'Game Lines'!I238</f>
        <v>0</v>
      </c>
      <c r="J233" s="5">
        <f>'Game Lines'!J238</f>
        <v>0</v>
      </c>
      <c r="K233" s="1" t="e">
        <f t="array" ref="K233">_xlfn.XLOOKUP(DATEVALUE(A233),'Week Lookup Table'!A:A,'Week Lookup Table'!B:B)</f>
        <v>#VALUE!</v>
      </c>
      <c r="L233" s="1">
        <f>'Game Lines'!L238</f>
        <v>0</v>
      </c>
    </row>
    <row r="234" spans="1:12" ht="13" x14ac:dyDescent="0.15">
      <c r="A234" s="5">
        <f>'Game Lines'!A239</f>
        <v>0</v>
      </c>
      <c r="B234" s="1">
        <f>'Game Lines'!B239</f>
        <v>0</v>
      </c>
      <c r="C234" s="1">
        <f>'Game Lines'!C239</f>
        <v>0</v>
      </c>
      <c r="D234" s="1">
        <f>'Game Lines'!D239</f>
        <v>0</v>
      </c>
      <c r="E234" s="1">
        <f>'Game Lines'!E239</f>
        <v>0</v>
      </c>
      <c r="F234" s="1">
        <f>'Game Lines'!F239</f>
        <v>0</v>
      </c>
      <c r="G234" s="1">
        <f>'Game Lines'!G239</f>
        <v>0</v>
      </c>
      <c r="H234" s="1">
        <f>'Game Lines'!H239</f>
        <v>0</v>
      </c>
      <c r="I234" s="1">
        <f>'Game Lines'!I239</f>
        <v>0</v>
      </c>
      <c r="J234" s="5">
        <f>'Game Lines'!J239</f>
        <v>0</v>
      </c>
      <c r="K234" s="1" t="e">
        <f t="array" ref="K234">_xlfn.XLOOKUP(DATEVALUE(A234),'Week Lookup Table'!A:A,'Week Lookup Table'!B:B)</f>
        <v>#VALUE!</v>
      </c>
      <c r="L234" s="1">
        <f>'Game Lines'!L239</f>
        <v>0</v>
      </c>
    </row>
    <row r="235" spans="1:12" ht="13" x14ac:dyDescent="0.15">
      <c r="A235" s="5">
        <f>'Game Lines'!A240</f>
        <v>0</v>
      </c>
      <c r="B235" s="1">
        <f>'Game Lines'!B240</f>
        <v>0</v>
      </c>
      <c r="C235" s="1">
        <f>'Game Lines'!C240</f>
        <v>0</v>
      </c>
      <c r="D235" s="1">
        <f>'Game Lines'!D240</f>
        <v>0</v>
      </c>
      <c r="E235" s="1">
        <f>'Game Lines'!E240</f>
        <v>0</v>
      </c>
      <c r="F235" s="1">
        <f>'Game Lines'!F240</f>
        <v>0</v>
      </c>
      <c r="G235" s="1">
        <f>'Game Lines'!G240</f>
        <v>0</v>
      </c>
      <c r="H235" s="1">
        <f>'Game Lines'!H240</f>
        <v>0</v>
      </c>
      <c r="I235" s="1">
        <f>'Game Lines'!I240</f>
        <v>0</v>
      </c>
      <c r="J235" s="5">
        <f>'Game Lines'!J240</f>
        <v>0</v>
      </c>
      <c r="K235" s="1" t="e">
        <f t="array" ref="K235">_xlfn.XLOOKUP(DATEVALUE(A235),'Week Lookup Table'!A:A,'Week Lookup Table'!B:B)</f>
        <v>#VALUE!</v>
      </c>
      <c r="L235" s="1">
        <f>'Game Lines'!L240</f>
        <v>0</v>
      </c>
    </row>
    <row r="236" spans="1:12" ht="13" x14ac:dyDescent="0.15">
      <c r="A236" s="5">
        <f>'Game Lines'!A241</f>
        <v>0</v>
      </c>
      <c r="B236" s="1">
        <f>'Game Lines'!B241</f>
        <v>0</v>
      </c>
      <c r="C236" s="1">
        <f>'Game Lines'!C241</f>
        <v>0</v>
      </c>
      <c r="D236" s="1">
        <f>'Game Lines'!D241</f>
        <v>0</v>
      </c>
      <c r="E236" s="1">
        <f>'Game Lines'!E241</f>
        <v>0</v>
      </c>
      <c r="F236" s="1">
        <f>'Game Lines'!F241</f>
        <v>0</v>
      </c>
      <c r="G236" s="1">
        <f>'Game Lines'!G241</f>
        <v>0</v>
      </c>
      <c r="H236" s="1">
        <f>'Game Lines'!H241</f>
        <v>0</v>
      </c>
      <c r="I236" s="1">
        <f>'Game Lines'!I241</f>
        <v>0</v>
      </c>
      <c r="J236" s="5">
        <f>'Game Lines'!J241</f>
        <v>0</v>
      </c>
      <c r="K236" s="1" t="e">
        <f t="array" ref="K236">_xlfn.XLOOKUP(DATEVALUE(A236),'Week Lookup Table'!A:A,'Week Lookup Table'!B:B)</f>
        <v>#VALUE!</v>
      </c>
      <c r="L236" s="1">
        <f>'Game Lines'!L241</f>
        <v>0</v>
      </c>
    </row>
    <row r="237" spans="1:12" ht="13" x14ac:dyDescent="0.15">
      <c r="A237" s="5">
        <f>'Game Lines'!A242</f>
        <v>0</v>
      </c>
      <c r="B237" s="1">
        <f>'Game Lines'!B242</f>
        <v>0</v>
      </c>
      <c r="C237" s="1">
        <f>'Game Lines'!C242</f>
        <v>0</v>
      </c>
      <c r="D237" s="1">
        <f>'Game Lines'!D242</f>
        <v>0</v>
      </c>
      <c r="E237" s="1">
        <f>'Game Lines'!E242</f>
        <v>0</v>
      </c>
      <c r="F237" s="1">
        <f>'Game Lines'!F242</f>
        <v>0</v>
      </c>
      <c r="G237" s="1">
        <f>'Game Lines'!G242</f>
        <v>0</v>
      </c>
      <c r="H237" s="1">
        <f>'Game Lines'!H242</f>
        <v>0</v>
      </c>
      <c r="I237" s="1">
        <f>'Game Lines'!I242</f>
        <v>0</v>
      </c>
      <c r="J237" s="5">
        <f>'Game Lines'!J242</f>
        <v>0</v>
      </c>
      <c r="K237" s="1" t="e">
        <f t="array" ref="K237">_xlfn.XLOOKUP(DATEVALUE(A237),'Week Lookup Table'!A:A,'Week Lookup Table'!B:B)</f>
        <v>#VALUE!</v>
      </c>
      <c r="L237" s="1">
        <f>'Game Lines'!L242</f>
        <v>0</v>
      </c>
    </row>
    <row r="238" spans="1:12" ht="13" x14ac:dyDescent="0.15">
      <c r="A238" s="5">
        <f>'Game Lines'!A243</f>
        <v>0</v>
      </c>
      <c r="B238" s="1">
        <f>'Game Lines'!B243</f>
        <v>0</v>
      </c>
      <c r="C238" s="1">
        <f>'Game Lines'!C243</f>
        <v>0</v>
      </c>
      <c r="D238" s="1">
        <f>'Game Lines'!D243</f>
        <v>0</v>
      </c>
      <c r="E238" s="1">
        <f>'Game Lines'!E243</f>
        <v>0</v>
      </c>
      <c r="F238" s="1">
        <f>'Game Lines'!F243</f>
        <v>0</v>
      </c>
      <c r="G238" s="1">
        <f>'Game Lines'!G243</f>
        <v>0</v>
      </c>
      <c r="H238" s="1">
        <f>'Game Lines'!H243</f>
        <v>0</v>
      </c>
      <c r="I238" s="1">
        <f>'Game Lines'!I243</f>
        <v>0</v>
      </c>
      <c r="J238" s="5">
        <f>'Game Lines'!J243</f>
        <v>0</v>
      </c>
      <c r="K238" s="1" t="e">
        <f t="array" ref="K238">_xlfn.XLOOKUP(DATEVALUE(A238),'Week Lookup Table'!A:A,'Week Lookup Table'!B:B)</f>
        <v>#VALUE!</v>
      </c>
      <c r="L238" s="1">
        <f>'Game Lines'!L243</f>
        <v>0</v>
      </c>
    </row>
    <row r="239" spans="1:12" ht="13" x14ac:dyDescent="0.15">
      <c r="A239" s="5">
        <f>'Game Lines'!A244</f>
        <v>0</v>
      </c>
      <c r="B239" s="1">
        <f>'Game Lines'!B244</f>
        <v>0</v>
      </c>
      <c r="C239" s="1">
        <f>'Game Lines'!C244</f>
        <v>0</v>
      </c>
      <c r="D239" s="1">
        <f>'Game Lines'!D244</f>
        <v>0</v>
      </c>
      <c r="E239" s="1">
        <f>'Game Lines'!E244</f>
        <v>0</v>
      </c>
      <c r="F239" s="1">
        <f>'Game Lines'!F244</f>
        <v>0</v>
      </c>
      <c r="G239" s="1">
        <f>'Game Lines'!G244</f>
        <v>0</v>
      </c>
      <c r="H239" s="1">
        <f>'Game Lines'!H244</f>
        <v>0</v>
      </c>
      <c r="I239" s="1">
        <f>'Game Lines'!I244</f>
        <v>0</v>
      </c>
      <c r="J239" s="5">
        <f>'Game Lines'!J244</f>
        <v>0</v>
      </c>
      <c r="K239" s="1" t="e">
        <f t="array" ref="K239">_xlfn.XLOOKUP(DATEVALUE(A239),'Week Lookup Table'!A:A,'Week Lookup Table'!B:B)</f>
        <v>#VALUE!</v>
      </c>
      <c r="L239" s="1">
        <f>'Game Lines'!L244</f>
        <v>0</v>
      </c>
    </row>
    <row r="240" spans="1:12" ht="13" x14ac:dyDescent="0.15">
      <c r="A240" s="5">
        <f>'Game Lines'!A245</f>
        <v>0</v>
      </c>
      <c r="B240" s="1">
        <f>'Game Lines'!B245</f>
        <v>0</v>
      </c>
      <c r="C240" s="1">
        <f>'Game Lines'!C245</f>
        <v>0</v>
      </c>
      <c r="D240" s="1">
        <f>'Game Lines'!D245</f>
        <v>0</v>
      </c>
      <c r="E240" s="1">
        <f>'Game Lines'!E245</f>
        <v>0</v>
      </c>
      <c r="F240" s="1">
        <f>'Game Lines'!F245</f>
        <v>0</v>
      </c>
      <c r="G240" s="1">
        <f>'Game Lines'!G245</f>
        <v>0</v>
      </c>
      <c r="H240" s="1">
        <f>'Game Lines'!H245</f>
        <v>0</v>
      </c>
      <c r="I240" s="1">
        <f>'Game Lines'!I245</f>
        <v>0</v>
      </c>
      <c r="J240" s="5">
        <f>'Game Lines'!J245</f>
        <v>0</v>
      </c>
      <c r="K240" s="1" t="e">
        <f t="array" ref="K240">_xlfn.XLOOKUP(DATEVALUE(A240),'Week Lookup Table'!A:A,'Week Lookup Table'!B:B)</f>
        <v>#VALUE!</v>
      </c>
      <c r="L240" s="1">
        <f>'Game Lines'!L245</f>
        <v>0</v>
      </c>
    </row>
    <row r="241" spans="1:12" ht="13" x14ac:dyDescent="0.15">
      <c r="A241" s="5">
        <f>'Game Lines'!A246</f>
        <v>0</v>
      </c>
      <c r="B241" s="1">
        <f>'Game Lines'!B246</f>
        <v>0</v>
      </c>
      <c r="C241" s="1">
        <f>'Game Lines'!C246</f>
        <v>0</v>
      </c>
      <c r="D241" s="1">
        <f>'Game Lines'!D246</f>
        <v>0</v>
      </c>
      <c r="E241" s="1">
        <f>'Game Lines'!E246</f>
        <v>0</v>
      </c>
      <c r="F241" s="1">
        <f>'Game Lines'!F246</f>
        <v>0</v>
      </c>
      <c r="G241" s="1">
        <f>'Game Lines'!G246</f>
        <v>0</v>
      </c>
      <c r="H241" s="1">
        <f>'Game Lines'!H246</f>
        <v>0</v>
      </c>
      <c r="I241" s="1">
        <f>'Game Lines'!I246</f>
        <v>0</v>
      </c>
      <c r="J241" s="5">
        <f>'Game Lines'!J246</f>
        <v>0</v>
      </c>
      <c r="K241" s="1" t="e">
        <f t="array" ref="K241">_xlfn.XLOOKUP(DATEVALUE(A241),'Week Lookup Table'!A:A,'Week Lookup Table'!B:B)</f>
        <v>#VALUE!</v>
      </c>
      <c r="L241" s="1">
        <f>'Game Lines'!L246</f>
        <v>0</v>
      </c>
    </row>
    <row r="242" spans="1:12" ht="13" x14ac:dyDescent="0.15">
      <c r="A242" s="5">
        <f>'Game Lines'!A247</f>
        <v>0</v>
      </c>
      <c r="B242" s="1">
        <f>'Game Lines'!B247</f>
        <v>0</v>
      </c>
      <c r="C242" s="1">
        <f>'Game Lines'!C247</f>
        <v>0</v>
      </c>
      <c r="D242" s="1">
        <f>'Game Lines'!D247</f>
        <v>0</v>
      </c>
      <c r="E242" s="1">
        <f>'Game Lines'!E247</f>
        <v>0</v>
      </c>
      <c r="F242" s="1">
        <f>'Game Lines'!F247</f>
        <v>0</v>
      </c>
      <c r="G242" s="1">
        <f>'Game Lines'!G247</f>
        <v>0</v>
      </c>
      <c r="H242" s="1">
        <f>'Game Lines'!H247</f>
        <v>0</v>
      </c>
      <c r="I242" s="1">
        <f>'Game Lines'!I247</f>
        <v>0</v>
      </c>
      <c r="J242" s="5">
        <f>'Game Lines'!J247</f>
        <v>0</v>
      </c>
      <c r="K242" s="1" t="e">
        <f t="array" ref="K242">_xlfn.XLOOKUP(DATEVALUE(A242),'Week Lookup Table'!A:A,'Week Lookup Table'!B:B)</f>
        <v>#VALUE!</v>
      </c>
      <c r="L242" s="1">
        <f>'Game Lines'!L247</f>
        <v>0</v>
      </c>
    </row>
    <row r="243" spans="1:12" ht="13" x14ac:dyDescent="0.15">
      <c r="A243" s="5">
        <f>'Game Lines'!A248</f>
        <v>0</v>
      </c>
      <c r="B243" s="1">
        <f>'Game Lines'!B248</f>
        <v>0</v>
      </c>
      <c r="C243" s="1">
        <f>'Game Lines'!C248</f>
        <v>0</v>
      </c>
      <c r="D243" s="1">
        <f>'Game Lines'!D248</f>
        <v>0</v>
      </c>
      <c r="E243" s="1">
        <f>'Game Lines'!E248</f>
        <v>0</v>
      </c>
      <c r="F243" s="1">
        <f>'Game Lines'!F248</f>
        <v>0</v>
      </c>
      <c r="G243" s="1">
        <f>'Game Lines'!G248</f>
        <v>0</v>
      </c>
      <c r="H243" s="1">
        <f>'Game Lines'!H248</f>
        <v>0</v>
      </c>
      <c r="I243" s="1">
        <f>'Game Lines'!I248</f>
        <v>0</v>
      </c>
      <c r="J243" s="5">
        <f>'Game Lines'!J248</f>
        <v>0</v>
      </c>
      <c r="K243" s="1" t="e">
        <f t="array" ref="K243">_xlfn.XLOOKUP(DATEVALUE(A243),'Week Lookup Table'!A:A,'Week Lookup Table'!B:B)</f>
        <v>#VALUE!</v>
      </c>
      <c r="L243" s="1">
        <f>'Game Lines'!L248</f>
        <v>0</v>
      </c>
    </row>
    <row r="244" spans="1:12" ht="13" x14ac:dyDescent="0.15">
      <c r="A244" s="5">
        <f>'Game Lines'!A249</f>
        <v>0</v>
      </c>
      <c r="B244" s="1">
        <f>'Game Lines'!B249</f>
        <v>0</v>
      </c>
      <c r="C244" s="1">
        <f>'Game Lines'!C249</f>
        <v>0</v>
      </c>
      <c r="D244" s="1">
        <f>'Game Lines'!D249</f>
        <v>0</v>
      </c>
      <c r="E244" s="1">
        <f>'Game Lines'!E249</f>
        <v>0</v>
      </c>
      <c r="F244" s="1">
        <f>'Game Lines'!F249</f>
        <v>0</v>
      </c>
      <c r="G244" s="1">
        <f>'Game Lines'!G249</f>
        <v>0</v>
      </c>
      <c r="H244" s="1">
        <f>'Game Lines'!H249</f>
        <v>0</v>
      </c>
      <c r="I244" s="1">
        <f>'Game Lines'!I249</f>
        <v>0</v>
      </c>
      <c r="J244" s="5">
        <f>'Game Lines'!J249</f>
        <v>0</v>
      </c>
      <c r="K244" s="1" t="e">
        <f t="array" ref="K244">_xlfn.XLOOKUP(DATEVALUE(A244),'Week Lookup Table'!A:A,'Week Lookup Table'!B:B)</f>
        <v>#VALUE!</v>
      </c>
      <c r="L244" s="1">
        <f>'Game Lines'!L249</f>
        <v>0</v>
      </c>
    </row>
    <row r="245" spans="1:12" ht="13" x14ac:dyDescent="0.15">
      <c r="A245" s="5">
        <f>'Game Lines'!A250</f>
        <v>0</v>
      </c>
      <c r="B245" s="1">
        <f>'Game Lines'!B250</f>
        <v>0</v>
      </c>
      <c r="C245" s="1">
        <f>'Game Lines'!C250</f>
        <v>0</v>
      </c>
      <c r="D245" s="1">
        <f>'Game Lines'!D250</f>
        <v>0</v>
      </c>
      <c r="E245" s="1">
        <f>'Game Lines'!E250</f>
        <v>0</v>
      </c>
      <c r="F245" s="1">
        <f>'Game Lines'!F250</f>
        <v>0</v>
      </c>
      <c r="G245" s="1">
        <f>'Game Lines'!G250</f>
        <v>0</v>
      </c>
      <c r="H245" s="1">
        <f>'Game Lines'!H250</f>
        <v>0</v>
      </c>
      <c r="I245" s="1">
        <f>'Game Lines'!I250</f>
        <v>0</v>
      </c>
      <c r="J245" s="5">
        <f>'Game Lines'!J250</f>
        <v>0</v>
      </c>
      <c r="K245" s="1" t="e">
        <f t="array" ref="K245">_xlfn.XLOOKUP(DATEVALUE(A245),'Week Lookup Table'!A:A,'Week Lookup Table'!B:B)</f>
        <v>#VALUE!</v>
      </c>
      <c r="L245" s="1">
        <f>'Game Lines'!L250</f>
        <v>0</v>
      </c>
    </row>
    <row r="246" spans="1:12" ht="13" x14ac:dyDescent="0.15">
      <c r="A246" s="5">
        <f>'Game Lines'!A251</f>
        <v>0</v>
      </c>
      <c r="B246" s="1">
        <f>'Game Lines'!B251</f>
        <v>0</v>
      </c>
      <c r="C246" s="1">
        <f>'Game Lines'!C251</f>
        <v>0</v>
      </c>
      <c r="D246" s="1">
        <f>'Game Lines'!D251</f>
        <v>0</v>
      </c>
      <c r="E246" s="1">
        <f>'Game Lines'!E251</f>
        <v>0</v>
      </c>
      <c r="F246" s="1">
        <f>'Game Lines'!F251</f>
        <v>0</v>
      </c>
      <c r="G246" s="1">
        <f>'Game Lines'!G251</f>
        <v>0</v>
      </c>
      <c r="H246" s="1">
        <f>'Game Lines'!H251</f>
        <v>0</v>
      </c>
      <c r="I246" s="1">
        <f>'Game Lines'!I251</f>
        <v>0</v>
      </c>
      <c r="J246" s="5">
        <f>'Game Lines'!J251</f>
        <v>0</v>
      </c>
      <c r="K246" s="1" t="e">
        <f t="array" ref="K246">_xlfn.XLOOKUP(DATEVALUE(A246),'Week Lookup Table'!A:A,'Week Lookup Table'!B:B)</f>
        <v>#VALUE!</v>
      </c>
      <c r="L246" s="1">
        <f>'Game Lines'!L251</f>
        <v>0</v>
      </c>
    </row>
    <row r="247" spans="1:12" ht="13" x14ac:dyDescent="0.15">
      <c r="A247" s="5">
        <f>'Game Lines'!A252</f>
        <v>0</v>
      </c>
      <c r="B247" s="1">
        <f>'Game Lines'!B252</f>
        <v>0</v>
      </c>
      <c r="C247" s="1">
        <f>'Game Lines'!C252</f>
        <v>0</v>
      </c>
      <c r="D247" s="1">
        <f>'Game Lines'!D252</f>
        <v>0</v>
      </c>
      <c r="E247" s="1">
        <f>'Game Lines'!E252</f>
        <v>0</v>
      </c>
      <c r="F247" s="1">
        <f>'Game Lines'!F252</f>
        <v>0</v>
      </c>
      <c r="G247" s="1">
        <f>'Game Lines'!G252</f>
        <v>0</v>
      </c>
      <c r="H247" s="1">
        <f>'Game Lines'!H252</f>
        <v>0</v>
      </c>
      <c r="I247" s="1">
        <f>'Game Lines'!I252</f>
        <v>0</v>
      </c>
      <c r="J247" s="5">
        <f>'Game Lines'!J252</f>
        <v>0</v>
      </c>
      <c r="K247" s="1" t="e">
        <f t="array" ref="K247">_xlfn.XLOOKUP(DATEVALUE(A247),'Week Lookup Table'!A:A,'Week Lookup Table'!B:B)</f>
        <v>#VALUE!</v>
      </c>
      <c r="L247" s="1">
        <f>'Game Lines'!L252</f>
        <v>0</v>
      </c>
    </row>
    <row r="248" spans="1:12" ht="13" x14ac:dyDescent="0.15">
      <c r="A248" s="5">
        <f>'Game Lines'!A253</f>
        <v>0</v>
      </c>
      <c r="B248" s="1">
        <f>'Game Lines'!B253</f>
        <v>0</v>
      </c>
      <c r="C248" s="1">
        <f>'Game Lines'!C253</f>
        <v>0</v>
      </c>
      <c r="D248" s="1">
        <f>'Game Lines'!D253</f>
        <v>0</v>
      </c>
      <c r="E248" s="1">
        <f>'Game Lines'!E253</f>
        <v>0</v>
      </c>
      <c r="F248" s="1">
        <f>'Game Lines'!F253</f>
        <v>0</v>
      </c>
      <c r="G248" s="1">
        <f>'Game Lines'!G253</f>
        <v>0</v>
      </c>
      <c r="H248" s="1">
        <f>'Game Lines'!H253</f>
        <v>0</v>
      </c>
      <c r="I248" s="1">
        <f>'Game Lines'!I253</f>
        <v>0</v>
      </c>
      <c r="J248" s="5">
        <f>'Game Lines'!J253</f>
        <v>0</v>
      </c>
      <c r="K248" s="1" t="e">
        <f t="array" ref="K248">_xlfn.XLOOKUP(DATEVALUE(A248),'Week Lookup Table'!A:A,'Week Lookup Table'!B:B)</f>
        <v>#VALUE!</v>
      </c>
      <c r="L248" s="1">
        <f>'Game Lines'!L253</f>
        <v>0</v>
      </c>
    </row>
    <row r="249" spans="1:12" ht="13" x14ac:dyDescent="0.15">
      <c r="A249" s="5">
        <f>'Game Lines'!A254</f>
        <v>0</v>
      </c>
      <c r="B249" s="1">
        <f>'Game Lines'!B254</f>
        <v>0</v>
      </c>
      <c r="C249" s="1">
        <f>'Game Lines'!C254</f>
        <v>0</v>
      </c>
      <c r="D249" s="1">
        <f>'Game Lines'!D254</f>
        <v>0</v>
      </c>
      <c r="E249" s="1">
        <f>'Game Lines'!E254</f>
        <v>0</v>
      </c>
      <c r="F249" s="1">
        <f>'Game Lines'!F254</f>
        <v>0</v>
      </c>
      <c r="G249" s="1">
        <f>'Game Lines'!G254</f>
        <v>0</v>
      </c>
      <c r="H249" s="1">
        <f>'Game Lines'!H254</f>
        <v>0</v>
      </c>
      <c r="I249" s="1">
        <f>'Game Lines'!I254</f>
        <v>0</v>
      </c>
      <c r="J249" s="5">
        <f>'Game Lines'!J254</f>
        <v>0</v>
      </c>
      <c r="K249" s="1" t="e">
        <f t="array" ref="K249">_xlfn.XLOOKUP(DATEVALUE(A249),'Week Lookup Table'!A:A,'Week Lookup Table'!B:B)</f>
        <v>#VALUE!</v>
      </c>
      <c r="L249" s="1">
        <f>'Game Lines'!L254</f>
        <v>0</v>
      </c>
    </row>
    <row r="250" spans="1:12" ht="13" x14ac:dyDescent="0.15">
      <c r="A250" s="5">
        <f>'Game Lines'!A255</f>
        <v>0</v>
      </c>
      <c r="B250" s="1">
        <f>'Game Lines'!B255</f>
        <v>0</v>
      </c>
      <c r="C250" s="1">
        <f>'Game Lines'!C255</f>
        <v>0</v>
      </c>
      <c r="D250" s="1">
        <f>'Game Lines'!D255</f>
        <v>0</v>
      </c>
      <c r="E250" s="1">
        <f>'Game Lines'!E255</f>
        <v>0</v>
      </c>
      <c r="F250" s="1">
        <f>'Game Lines'!F255</f>
        <v>0</v>
      </c>
      <c r="G250" s="1">
        <f>'Game Lines'!G255</f>
        <v>0</v>
      </c>
      <c r="H250" s="1">
        <f>'Game Lines'!H255</f>
        <v>0</v>
      </c>
      <c r="I250" s="1">
        <f>'Game Lines'!I255</f>
        <v>0</v>
      </c>
      <c r="J250" s="5">
        <f>'Game Lines'!J255</f>
        <v>0</v>
      </c>
      <c r="K250" s="1" t="e">
        <f t="array" ref="K250">_xlfn.XLOOKUP(DATEVALUE(A250),'Week Lookup Table'!A:A,'Week Lookup Table'!B:B)</f>
        <v>#VALUE!</v>
      </c>
      <c r="L250" s="1">
        <f>'Game Lines'!L255</f>
        <v>0</v>
      </c>
    </row>
    <row r="251" spans="1:12" ht="13" x14ac:dyDescent="0.15">
      <c r="A251" s="5">
        <f>'Game Lines'!A256</f>
        <v>0</v>
      </c>
      <c r="B251" s="1">
        <f>'Game Lines'!B256</f>
        <v>0</v>
      </c>
      <c r="C251" s="1">
        <f>'Game Lines'!C256</f>
        <v>0</v>
      </c>
      <c r="D251" s="1">
        <f>'Game Lines'!D256</f>
        <v>0</v>
      </c>
      <c r="E251" s="1">
        <f>'Game Lines'!E256</f>
        <v>0</v>
      </c>
      <c r="F251" s="1">
        <f>'Game Lines'!F256</f>
        <v>0</v>
      </c>
      <c r="G251" s="1">
        <f>'Game Lines'!G256</f>
        <v>0</v>
      </c>
      <c r="H251" s="1">
        <f>'Game Lines'!H256</f>
        <v>0</v>
      </c>
      <c r="I251" s="1">
        <f>'Game Lines'!I256</f>
        <v>0</v>
      </c>
      <c r="J251" s="5">
        <f>'Game Lines'!J256</f>
        <v>0</v>
      </c>
      <c r="K251" s="1" t="e">
        <f t="array" ref="K251">_xlfn.XLOOKUP(DATEVALUE(A251),'Week Lookup Table'!A:A,'Week Lookup Table'!B:B)</f>
        <v>#VALUE!</v>
      </c>
      <c r="L251" s="1">
        <f>'Game Lines'!L256</f>
        <v>0</v>
      </c>
    </row>
    <row r="252" spans="1:12" ht="13" x14ac:dyDescent="0.15">
      <c r="A252" s="5">
        <f>'Game Lines'!A257</f>
        <v>0</v>
      </c>
      <c r="B252" s="1">
        <f>'Game Lines'!B257</f>
        <v>0</v>
      </c>
      <c r="C252" s="1">
        <f>'Game Lines'!C257</f>
        <v>0</v>
      </c>
      <c r="D252" s="1">
        <f>'Game Lines'!D257</f>
        <v>0</v>
      </c>
      <c r="E252" s="1">
        <f>'Game Lines'!E257</f>
        <v>0</v>
      </c>
      <c r="F252" s="1">
        <f>'Game Lines'!F257</f>
        <v>0</v>
      </c>
      <c r="G252" s="1">
        <f>'Game Lines'!G257</f>
        <v>0</v>
      </c>
      <c r="H252" s="1">
        <f>'Game Lines'!H257</f>
        <v>0</v>
      </c>
      <c r="I252" s="1">
        <f>'Game Lines'!I257</f>
        <v>0</v>
      </c>
      <c r="J252" s="5">
        <f>'Game Lines'!J257</f>
        <v>0</v>
      </c>
      <c r="K252" s="1" t="e">
        <f t="array" ref="K252">_xlfn.XLOOKUP(DATEVALUE(A252),'Week Lookup Table'!A:A,'Week Lookup Table'!B:B)</f>
        <v>#VALUE!</v>
      </c>
      <c r="L252" s="1">
        <f>'Game Lines'!L257</f>
        <v>0</v>
      </c>
    </row>
    <row r="253" spans="1:12" ht="13" x14ac:dyDescent="0.15">
      <c r="A253" s="5">
        <f>'Game Lines'!A258</f>
        <v>0</v>
      </c>
      <c r="B253" s="1">
        <f>'Game Lines'!B258</f>
        <v>0</v>
      </c>
      <c r="C253" s="1">
        <f>'Game Lines'!C258</f>
        <v>0</v>
      </c>
      <c r="D253" s="1">
        <f>'Game Lines'!D258</f>
        <v>0</v>
      </c>
      <c r="E253" s="1">
        <f>'Game Lines'!E258</f>
        <v>0</v>
      </c>
      <c r="F253" s="1">
        <f>'Game Lines'!F258</f>
        <v>0</v>
      </c>
      <c r="G253" s="1">
        <f>'Game Lines'!G258</f>
        <v>0</v>
      </c>
      <c r="H253" s="1">
        <f>'Game Lines'!H258</f>
        <v>0</v>
      </c>
      <c r="I253" s="1">
        <f>'Game Lines'!I258</f>
        <v>0</v>
      </c>
      <c r="J253" s="5">
        <f>'Game Lines'!J258</f>
        <v>0</v>
      </c>
      <c r="K253" s="1" t="e">
        <f t="array" ref="K253">_xlfn.XLOOKUP(DATEVALUE(A253),'Week Lookup Table'!A:A,'Week Lookup Table'!B:B)</f>
        <v>#VALUE!</v>
      </c>
      <c r="L253" s="1">
        <f>'Game Lines'!L258</f>
        <v>0</v>
      </c>
    </row>
    <row r="254" spans="1:12" ht="13" x14ac:dyDescent="0.15">
      <c r="A254" s="5">
        <f>'Game Lines'!A259</f>
        <v>0</v>
      </c>
      <c r="B254" s="1">
        <f>'Game Lines'!B259</f>
        <v>0</v>
      </c>
      <c r="C254" s="1">
        <f>'Game Lines'!C259</f>
        <v>0</v>
      </c>
      <c r="D254" s="1">
        <f>'Game Lines'!D259</f>
        <v>0</v>
      </c>
      <c r="E254" s="1">
        <f>'Game Lines'!E259</f>
        <v>0</v>
      </c>
      <c r="F254" s="1">
        <f>'Game Lines'!F259</f>
        <v>0</v>
      </c>
      <c r="G254" s="1">
        <f>'Game Lines'!G259</f>
        <v>0</v>
      </c>
      <c r="H254" s="1">
        <f>'Game Lines'!H259</f>
        <v>0</v>
      </c>
      <c r="I254" s="1">
        <f>'Game Lines'!I259</f>
        <v>0</v>
      </c>
      <c r="J254" s="5">
        <f>'Game Lines'!J259</f>
        <v>0</v>
      </c>
      <c r="K254" s="1" t="e">
        <f t="array" ref="K254">_xlfn.XLOOKUP(DATEVALUE(A254),'Week Lookup Table'!A:A,'Week Lookup Table'!B:B)</f>
        <v>#VALUE!</v>
      </c>
      <c r="L254" s="1">
        <f>'Game Lines'!L259</f>
        <v>0</v>
      </c>
    </row>
    <row r="255" spans="1:12" ht="13" x14ac:dyDescent="0.15">
      <c r="A255" s="5">
        <f>'Game Lines'!A260</f>
        <v>0</v>
      </c>
      <c r="B255" s="1">
        <f>'Game Lines'!B260</f>
        <v>0</v>
      </c>
      <c r="C255" s="1">
        <f>'Game Lines'!C260</f>
        <v>0</v>
      </c>
      <c r="D255" s="1">
        <f>'Game Lines'!D260</f>
        <v>0</v>
      </c>
      <c r="E255" s="1">
        <f>'Game Lines'!E260</f>
        <v>0</v>
      </c>
      <c r="F255" s="1">
        <f>'Game Lines'!F260</f>
        <v>0</v>
      </c>
      <c r="G255" s="1">
        <f>'Game Lines'!G260</f>
        <v>0</v>
      </c>
      <c r="H255" s="1">
        <f>'Game Lines'!H260</f>
        <v>0</v>
      </c>
      <c r="I255" s="1">
        <f>'Game Lines'!I260</f>
        <v>0</v>
      </c>
      <c r="J255" s="5">
        <f>'Game Lines'!J260</f>
        <v>0</v>
      </c>
      <c r="K255" s="1" t="e">
        <f t="array" ref="K255">_xlfn.XLOOKUP(DATEVALUE(A255),'Week Lookup Table'!A:A,'Week Lookup Table'!B:B)</f>
        <v>#VALUE!</v>
      </c>
      <c r="L255" s="1">
        <f>'Game Lines'!L260</f>
        <v>0</v>
      </c>
    </row>
    <row r="256" spans="1:12" ht="13" x14ac:dyDescent="0.15">
      <c r="A256" s="5">
        <f>'Game Lines'!A261</f>
        <v>0</v>
      </c>
      <c r="B256" s="1">
        <f>'Game Lines'!B261</f>
        <v>0</v>
      </c>
      <c r="C256" s="1">
        <f>'Game Lines'!C261</f>
        <v>0</v>
      </c>
      <c r="D256" s="1">
        <f>'Game Lines'!D261</f>
        <v>0</v>
      </c>
      <c r="E256" s="1">
        <f>'Game Lines'!E261</f>
        <v>0</v>
      </c>
      <c r="F256" s="1">
        <f>'Game Lines'!F261</f>
        <v>0</v>
      </c>
      <c r="G256" s="1">
        <f>'Game Lines'!G261</f>
        <v>0</v>
      </c>
      <c r="H256" s="1">
        <f>'Game Lines'!H261</f>
        <v>0</v>
      </c>
      <c r="I256" s="1">
        <f>'Game Lines'!I261</f>
        <v>0</v>
      </c>
      <c r="J256" s="5">
        <f>'Game Lines'!J261</f>
        <v>0</v>
      </c>
      <c r="K256" s="1" t="e">
        <f t="array" ref="K256">_xlfn.XLOOKUP(DATEVALUE(A256),'Week Lookup Table'!A:A,'Week Lookup Table'!B:B)</f>
        <v>#VALUE!</v>
      </c>
      <c r="L256" s="1">
        <f>'Game Lines'!L261</f>
        <v>0</v>
      </c>
    </row>
    <row r="257" spans="1:12" ht="13" x14ac:dyDescent="0.15">
      <c r="A257" s="5">
        <f>'Game Lines'!A262</f>
        <v>0</v>
      </c>
      <c r="B257" s="1">
        <f>'Game Lines'!B262</f>
        <v>0</v>
      </c>
      <c r="C257" s="1">
        <f>'Game Lines'!C262</f>
        <v>0</v>
      </c>
      <c r="D257" s="1">
        <f>'Game Lines'!D262</f>
        <v>0</v>
      </c>
      <c r="E257" s="1">
        <f>'Game Lines'!E262</f>
        <v>0</v>
      </c>
      <c r="F257" s="1">
        <f>'Game Lines'!F262</f>
        <v>0</v>
      </c>
      <c r="G257" s="1">
        <f>'Game Lines'!G262</f>
        <v>0</v>
      </c>
      <c r="H257" s="1">
        <f>'Game Lines'!H262</f>
        <v>0</v>
      </c>
      <c r="I257" s="1">
        <f>'Game Lines'!I262</f>
        <v>0</v>
      </c>
      <c r="J257" s="5">
        <f>'Game Lines'!J262</f>
        <v>0</v>
      </c>
      <c r="K257" s="1" t="e">
        <f t="array" ref="K257">_xlfn.XLOOKUP(DATEVALUE(A257),'Week Lookup Table'!A:A,'Week Lookup Table'!B:B)</f>
        <v>#VALUE!</v>
      </c>
      <c r="L257" s="1">
        <f>'Game Lines'!L262</f>
        <v>0</v>
      </c>
    </row>
    <row r="258" spans="1:12" ht="13" x14ac:dyDescent="0.15">
      <c r="A258" s="5">
        <f>'Game Lines'!A263</f>
        <v>0</v>
      </c>
      <c r="B258" s="1">
        <f>'Game Lines'!B263</f>
        <v>0</v>
      </c>
      <c r="C258" s="1">
        <f>'Game Lines'!C263</f>
        <v>0</v>
      </c>
      <c r="D258" s="1">
        <f>'Game Lines'!D263</f>
        <v>0</v>
      </c>
      <c r="E258" s="1">
        <f>'Game Lines'!E263</f>
        <v>0</v>
      </c>
      <c r="F258" s="1">
        <f>'Game Lines'!F263</f>
        <v>0</v>
      </c>
      <c r="G258" s="1">
        <f>'Game Lines'!G263</f>
        <v>0</v>
      </c>
      <c r="H258" s="1">
        <f>'Game Lines'!H263</f>
        <v>0</v>
      </c>
      <c r="I258" s="1">
        <f>'Game Lines'!I263</f>
        <v>0</v>
      </c>
      <c r="J258" s="5">
        <f>'Game Lines'!J263</f>
        <v>0</v>
      </c>
      <c r="K258" s="1" t="e">
        <f t="array" ref="K258">_xlfn.XLOOKUP(DATEVALUE(A258),'Week Lookup Table'!A:A,'Week Lookup Table'!B:B)</f>
        <v>#VALUE!</v>
      </c>
      <c r="L258" s="1">
        <f>'Game Lines'!L263</f>
        <v>0</v>
      </c>
    </row>
    <row r="259" spans="1:12" ht="13" x14ac:dyDescent="0.15">
      <c r="A259" s="5">
        <f>'Game Lines'!A264</f>
        <v>0</v>
      </c>
      <c r="B259" s="1">
        <f>'Game Lines'!B264</f>
        <v>0</v>
      </c>
      <c r="C259" s="1">
        <f>'Game Lines'!C264</f>
        <v>0</v>
      </c>
      <c r="D259" s="1">
        <f>'Game Lines'!D264</f>
        <v>0</v>
      </c>
      <c r="E259" s="1">
        <f>'Game Lines'!E264</f>
        <v>0</v>
      </c>
      <c r="F259" s="1">
        <f>'Game Lines'!F264</f>
        <v>0</v>
      </c>
      <c r="G259" s="1">
        <f>'Game Lines'!G264</f>
        <v>0</v>
      </c>
      <c r="H259" s="1">
        <f>'Game Lines'!H264</f>
        <v>0</v>
      </c>
      <c r="I259" s="1">
        <f>'Game Lines'!I264</f>
        <v>0</v>
      </c>
      <c r="J259" s="5">
        <f>'Game Lines'!J264</f>
        <v>0</v>
      </c>
      <c r="K259" s="1" t="e">
        <f t="array" ref="K259">_xlfn.XLOOKUP(DATEVALUE(A259),'Week Lookup Table'!A:A,'Week Lookup Table'!B:B)</f>
        <v>#VALUE!</v>
      </c>
      <c r="L259" s="1">
        <f>'Game Lines'!L264</f>
        <v>0</v>
      </c>
    </row>
    <row r="260" spans="1:12" ht="13" x14ac:dyDescent="0.15">
      <c r="A260" s="5">
        <f>'Game Lines'!A265</f>
        <v>0</v>
      </c>
      <c r="B260" s="1">
        <f>'Game Lines'!B265</f>
        <v>0</v>
      </c>
      <c r="C260" s="1">
        <f>'Game Lines'!C265</f>
        <v>0</v>
      </c>
      <c r="D260" s="1">
        <f>'Game Lines'!D265</f>
        <v>0</v>
      </c>
      <c r="E260" s="1">
        <f>'Game Lines'!E265</f>
        <v>0</v>
      </c>
      <c r="F260" s="1">
        <f>'Game Lines'!F265</f>
        <v>0</v>
      </c>
      <c r="G260" s="1">
        <f>'Game Lines'!G265</f>
        <v>0</v>
      </c>
      <c r="H260" s="1">
        <f>'Game Lines'!H265</f>
        <v>0</v>
      </c>
      <c r="I260" s="1">
        <f>'Game Lines'!I265</f>
        <v>0</v>
      </c>
      <c r="J260" s="5">
        <f>'Game Lines'!J265</f>
        <v>0</v>
      </c>
      <c r="K260" s="1" t="e">
        <f t="array" ref="K260">_xlfn.XLOOKUP(DATEVALUE(A260),'Week Lookup Table'!A:A,'Week Lookup Table'!B:B)</f>
        <v>#VALUE!</v>
      </c>
      <c r="L260" s="1">
        <f>'Game Lines'!L265</f>
        <v>0</v>
      </c>
    </row>
    <row r="261" spans="1:12" ht="13" x14ac:dyDescent="0.15">
      <c r="A261" s="5">
        <f>'Game Lines'!A266</f>
        <v>0</v>
      </c>
      <c r="B261" s="1">
        <f>'Game Lines'!B266</f>
        <v>0</v>
      </c>
      <c r="C261" s="1">
        <f>'Game Lines'!C266</f>
        <v>0</v>
      </c>
      <c r="D261" s="1">
        <f>'Game Lines'!D266</f>
        <v>0</v>
      </c>
      <c r="E261" s="1">
        <f>'Game Lines'!E266</f>
        <v>0</v>
      </c>
      <c r="F261" s="1">
        <f>'Game Lines'!F266</f>
        <v>0</v>
      </c>
      <c r="G261" s="1">
        <f>'Game Lines'!G266</f>
        <v>0</v>
      </c>
      <c r="H261" s="1">
        <f>'Game Lines'!H266</f>
        <v>0</v>
      </c>
      <c r="I261" s="1">
        <f>'Game Lines'!I266</f>
        <v>0</v>
      </c>
      <c r="J261" s="5">
        <f>'Game Lines'!J266</f>
        <v>0</v>
      </c>
      <c r="K261" s="1" t="e">
        <f t="array" ref="K261">_xlfn.XLOOKUP(DATEVALUE(A261),'Week Lookup Table'!A:A,'Week Lookup Table'!B:B)</f>
        <v>#VALUE!</v>
      </c>
      <c r="L261" s="1">
        <f>'Game Lines'!L266</f>
        <v>0</v>
      </c>
    </row>
    <row r="262" spans="1:12" ht="13" x14ac:dyDescent="0.15">
      <c r="A262" s="5">
        <f>'Game Lines'!A267</f>
        <v>0</v>
      </c>
      <c r="B262" s="1">
        <f>'Game Lines'!B267</f>
        <v>0</v>
      </c>
      <c r="C262" s="1">
        <f>'Game Lines'!C267</f>
        <v>0</v>
      </c>
      <c r="D262" s="1">
        <f>'Game Lines'!D267</f>
        <v>0</v>
      </c>
      <c r="E262" s="1">
        <f>'Game Lines'!E267</f>
        <v>0</v>
      </c>
      <c r="F262" s="1">
        <f>'Game Lines'!F267</f>
        <v>0</v>
      </c>
      <c r="G262" s="1">
        <f>'Game Lines'!G267</f>
        <v>0</v>
      </c>
      <c r="H262" s="1">
        <f>'Game Lines'!H267</f>
        <v>0</v>
      </c>
      <c r="I262" s="1">
        <f>'Game Lines'!I267</f>
        <v>0</v>
      </c>
      <c r="J262" s="5">
        <f>'Game Lines'!J267</f>
        <v>0</v>
      </c>
      <c r="K262" s="1" t="e">
        <f t="array" ref="K262">_xlfn.XLOOKUP(DATEVALUE(A262),'Week Lookup Table'!A:A,'Week Lookup Table'!B:B)</f>
        <v>#VALUE!</v>
      </c>
      <c r="L262" s="1">
        <f>'Game Lines'!L267</f>
        <v>0</v>
      </c>
    </row>
    <row r="263" spans="1:12" ht="13" x14ac:dyDescent="0.15">
      <c r="A263" s="5">
        <f>'Game Lines'!A268</f>
        <v>0</v>
      </c>
      <c r="B263" s="1">
        <f>'Game Lines'!B268</f>
        <v>0</v>
      </c>
      <c r="C263" s="1">
        <f>'Game Lines'!C268</f>
        <v>0</v>
      </c>
      <c r="D263" s="1">
        <f>'Game Lines'!D268</f>
        <v>0</v>
      </c>
      <c r="E263" s="1">
        <f>'Game Lines'!E268</f>
        <v>0</v>
      </c>
      <c r="F263" s="1">
        <f>'Game Lines'!F268</f>
        <v>0</v>
      </c>
      <c r="G263" s="1">
        <f>'Game Lines'!G268</f>
        <v>0</v>
      </c>
      <c r="H263" s="1">
        <f>'Game Lines'!H268</f>
        <v>0</v>
      </c>
      <c r="I263" s="1">
        <f>'Game Lines'!I268</f>
        <v>0</v>
      </c>
      <c r="J263" s="5">
        <f>'Game Lines'!J268</f>
        <v>0</v>
      </c>
      <c r="K263" s="1" t="e">
        <f t="array" ref="K263">_xlfn.XLOOKUP(DATEVALUE(A263),'Week Lookup Table'!A:A,'Week Lookup Table'!B:B)</f>
        <v>#VALUE!</v>
      </c>
      <c r="L263" s="1">
        <f>'Game Lines'!L268</f>
        <v>0</v>
      </c>
    </row>
    <row r="264" spans="1:12" ht="13" x14ac:dyDescent="0.15">
      <c r="A264" s="5">
        <f>'Game Lines'!A269</f>
        <v>0</v>
      </c>
      <c r="B264" s="1">
        <f>'Game Lines'!B269</f>
        <v>0</v>
      </c>
      <c r="C264" s="1">
        <f>'Game Lines'!C269</f>
        <v>0</v>
      </c>
      <c r="D264" s="1">
        <f>'Game Lines'!D269</f>
        <v>0</v>
      </c>
      <c r="E264" s="1">
        <f>'Game Lines'!E269</f>
        <v>0</v>
      </c>
      <c r="F264" s="1">
        <f>'Game Lines'!F269</f>
        <v>0</v>
      </c>
      <c r="G264" s="1">
        <f>'Game Lines'!G269</f>
        <v>0</v>
      </c>
      <c r="H264" s="1">
        <f>'Game Lines'!H269</f>
        <v>0</v>
      </c>
      <c r="I264" s="1">
        <f>'Game Lines'!I269</f>
        <v>0</v>
      </c>
      <c r="J264" s="5">
        <f>'Game Lines'!J269</f>
        <v>0</v>
      </c>
      <c r="K264" s="1" t="e">
        <f t="array" ref="K264">_xlfn.XLOOKUP(DATEVALUE(A264),'Week Lookup Table'!A:A,'Week Lookup Table'!B:B)</f>
        <v>#VALUE!</v>
      </c>
      <c r="L264" s="1">
        <f>'Game Lines'!L269</f>
        <v>0</v>
      </c>
    </row>
    <row r="265" spans="1:12" ht="13" x14ac:dyDescent="0.15">
      <c r="A265" s="5">
        <f>'Game Lines'!A270</f>
        <v>0</v>
      </c>
      <c r="B265" s="1">
        <f>'Game Lines'!B270</f>
        <v>0</v>
      </c>
      <c r="C265" s="1">
        <f>'Game Lines'!C270</f>
        <v>0</v>
      </c>
      <c r="D265" s="1">
        <f>'Game Lines'!D270</f>
        <v>0</v>
      </c>
      <c r="E265" s="1">
        <f>'Game Lines'!E270</f>
        <v>0</v>
      </c>
      <c r="F265" s="1">
        <f>'Game Lines'!F270</f>
        <v>0</v>
      </c>
      <c r="G265" s="1">
        <f>'Game Lines'!G270</f>
        <v>0</v>
      </c>
      <c r="H265" s="1">
        <f>'Game Lines'!H270</f>
        <v>0</v>
      </c>
      <c r="I265" s="1">
        <f>'Game Lines'!I270</f>
        <v>0</v>
      </c>
      <c r="J265" s="5">
        <f>'Game Lines'!J270</f>
        <v>0</v>
      </c>
      <c r="K265" s="1" t="e">
        <f t="array" ref="K265">_xlfn.XLOOKUP(DATEVALUE(A265),'Week Lookup Table'!A:A,'Week Lookup Table'!B:B)</f>
        <v>#VALUE!</v>
      </c>
      <c r="L265" s="1">
        <f>'Game Lines'!L270</f>
        <v>0</v>
      </c>
    </row>
    <row r="266" spans="1:12" ht="13" x14ac:dyDescent="0.15">
      <c r="A266" s="5">
        <f>'Game Lines'!A271</f>
        <v>0</v>
      </c>
      <c r="B266" s="1">
        <f>'Game Lines'!B271</f>
        <v>0</v>
      </c>
      <c r="C266" s="1">
        <f>'Game Lines'!C271</f>
        <v>0</v>
      </c>
      <c r="D266" s="1">
        <f>'Game Lines'!D271</f>
        <v>0</v>
      </c>
      <c r="E266" s="1">
        <f>'Game Lines'!E271</f>
        <v>0</v>
      </c>
      <c r="F266" s="1">
        <f>'Game Lines'!F271</f>
        <v>0</v>
      </c>
      <c r="G266" s="1">
        <f>'Game Lines'!G271</f>
        <v>0</v>
      </c>
      <c r="H266" s="1">
        <f>'Game Lines'!H271</f>
        <v>0</v>
      </c>
      <c r="I266" s="1">
        <f>'Game Lines'!I271</f>
        <v>0</v>
      </c>
      <c r="J266" s="5">
        <f>'Game Lines'!J271</f>
        <v>0</v>
      </c>
      <c r="K266" s="1" t="e">
        <f t="array" ref="K266">_xlfn.XLOOKUP(DATEVALUE(A266),'Week Lookup Table'!A:A,'Week Lookup Table'!B:B)</f>
        <v>#VALUE!</v>
      </c>
      <c r="L266" s="1">
        <f>'Game Lines'!L271</f>
        <v>0</v>
      </c>
    </row>
    <row r="267" spans="1:12" ht="13" x14ac:dyDescent="0.15">
      <c r="A267" s="5">
        <f>'Game Lines'!A272</f>
        <v>0</v>
      </c>
      <c r="B267" s="1">
        <f>'Game Lines'!B272</f>
        <v>0</v>
      </c>
      <c r="C267" s="1">
        <f>'Game Lines'!C272</f>
        <v>0</v>
      </c>
      <c r="D267" s="1">
        <f>'Game Lines'!D272</f>
        <v>0</v>
      </c>
      <c r="E267" s="1">
        <f>'Game Lines'!E272</f>
        <v>0</v>
      </c>
      <c r="F267" s="1">
        <f>'Game Lines'!F272</f>
        <v>0</v>
      </c>
      <c r="G267" s="1">
        <f>'Game Lines'!G272</f>
        <v>0</v>
      </c>
      <c r="H267" s="1">
        <f>'Game Lines'!H272</f>
        <v>0</v>
      </c>
      <c r="I267" s="1">
        <f>'Game Lines'!I272</f>
        <v>0</v>
      </c>
      <c r="J267" s="5">
        <f>'Game Lines'!J272</f>
        <v>0</v>
      </c>
      <c r="K267" s="1" t="e">
        <f t="array" ref="K267">_xlfn.XLOOKUP(DATEVALUE(A267),'Week Lookup Table'!A:A,'Week Lookup Table'!B:B)</f>
        <v>#VALUE!</v>
      </c>
      <c r="L267" s="1">
        <f>'Game Lines'!L272</f>
        <v>0</v>
      </c>
    </row>
    <row r="268" spans="1:12" ht="13" x14ac:dyDescent="0.15">
      <c r="A268" s="5">
        <f>'Game Lines'!A273</f>
        <v>0</v>
      </c>
      <c r="B268" s="1">
        <f>'Game Lines'!B273</f>
        <v>0</v>
      </c>
      <c r="C268" s="1">
        <f>'Game Lines'!C273</f>
        <v>0</v>
      </c>
      <c r="D268" s="1">
        <f>'Game Lines'!D273</f>
        <v>0</v>
      </c>
      <c r="E268" s="1">
        <f>'Game Lines'!E273</f>
        <v>0</v>
      </c>
      <c r="F268" s="1">
        <f>'Game Lines'!F273</f>
        <v>0</v>
      </c>
      <c r="G268" s="1">
        <f>'Game Lines'!G273</f>
        <v>0</v>
      </c>
      <c r="H268" s="1">
        <f>'Game Lines'!H273</f>
        <v>0</v>
      </c>
      <c r="I268" s="1">
        <f>'Game Lines'!I273</f>
        <v>0</v>
      </c>
      <c r="J268" s="5">
        <f>'Game Lines'!J273</f>
        <v>0</v>
      </c>
      <c r="K268" s="1" t="e">
        <f t="array" ref="K268">_xlfn.XLOOKUP(DATEVALUE(A268),'Week Lookup Table'!A:A,'Week Lookup Table'!B:B)</f>
        <v>#VALUE!</v>
      </c>
      <c r="L268" s="1">
        <f>'Game Lines'!L273</f>
        <v>0</v>
      </c>
    </row>
    <row r="269" spans="1:12" ht="13" x14ac:dyDescent="0.15">
      <c r="A269" s="5">
        <f>'Game Lines'!A274</f>
        <v>0</v>
      </c>
      <c r="B269" s="1">
        <f>'Game Lines'!B274</f>
        <v>0</v>
      </c>
      <c r="C269" s="1">
        <f>'Game Lines'!C274</f>
        <v>0</v>
      </c>
      <c r="D269" s="1">
        <f>'Game Lines'!D274</f>
        <v>0</v>
      </c>
      <c r="E269" s="1">
        <f>'Game Lines'!E274</f>
        <v>0</v>
      </c>
      <c r="F269" s="1">
        <f>'Game Lines'!F274</f>
        <v>0</v>
      </c>
      <c r="G269" s="1">
        <f>'Game Lines'!G274</f>
        <v>0</v>
      </c>
      <c r="H269" s="1">
        <f>'Game Lines'!H274</f>
        <v>0</v>
      </c>
      <c r="I269" s="1">
        <f>'Game Lines'!I274</f>
        <v>0</v>
      </c>
      <c r="J269" s="5">
        <f>'Game Lines'!J274</f>
        <v>0</v>
      </c>
      <c r="K269" s="1" t="e">
        <f t="array" ref="K269">_xlfn.XLOOKUP(DATEVALUE(A269),'Week Lookup Table'!A:A,'Week Lookup Table'!B:B)</f>
        <v>#VALUE!</v>
      </c>
      <c r="L269" s="1">
        <f>'Game Lines'!L274</f>
        <v>0</v>
      </c>
    </row>
    <row r="270" spans="1:12" ht="13" x14ac:dyDescent="0.15">
      <c r="A270" s="5">
        <f>'Game Lines'!A275</f>
        <v>0</v>
      </c>
      <c r="B270" s="1">
        <f>'Game Lines'!B275</f>
        <v>0</v>
      </c>
      <c r="C270" s="1">
        <f>'Game Lines'!C275</f>
        <v>0</v>
      </c>
      <c r="D270" s="1">
        <f>'Game Lines'!D275</f>
        <v>0</v>
      </c>
      <c r="E270" s="1">
        <f>'Game Lines'!E275</f>
        <v>0</v>
      </c>
      <c r="F270" s="1">
        <f>'Game Lines'!F275</f>
        <v>0</v>
      </c>
      <c r="G270" s="1">
        <f>'Game Lines'!G275</f>
        <v>0</v>
      </c>
      <c r="H270" s="1">
        <f>'Game Lines'!H275</f>
        <v>0</v>
      </c>
      <c r="I270" s="1">
        <f>'Game Lines'!I275</f>
        <v>0</v>
      </c>
      <c r="J270" s="5">
        <f>'Game Lines'!J275</f>
        <v>0</v>
      </c>
      <c r="K270" s="1" t="e">
        <f t="array" ref="K270">_xlfn.XLOOKUP(DATEVALUE(A270),'Week Lookup Table'!A:A,'Week Lookup Table'!B:B)</f>
        <v>#VALUE!</v>
      </c>
      <c r="L270" s="1">
        <f>'Game Lines'!L275</f>
        <v>0</v>
      </c>
    </row>
    <row r="271" spans="1:12" ht="13" x14ac:dyDescent="0.15">
      <c r="A271" s="5">
        <f>'Game Lines'!A276</f>
        <v>0</v>
      </c>
      <c r="B271" s="1">
        <f>'Game Lines'!B276</f>
        <v>0</v>
      </c>
      <c r="C271" s="1">
        <f>'Game Lines'!C276</f>
        <v>0</v>
      </c>
      <c r="D271" s="1">
        <f>'Game Lines'!D276</f>
        <v>0</v>
      </c>
      <c r="E271" s="1">
        <f>'Game Lines'!E276</f>
        <v>0</v>
      </c>
      <c r="F271" s="1">
        <f>'Game Lines'!F276</f>
        <v>0</v>
      </c>
      <c r="G271" s="1">
        <f>'Game Lines'!G276</f>
        <v>0</v>
      </c>
      <c r="H271" s="1">
        <f>'Game Lines'!H276</f>
        <v>0</v>
      </c>
      <c r="I271" s="1">
        <f>'Game Lines'!I276</f>
        <v>0</v>
      </c>
      <c r="J271" s="5">
        <f>'Game Lines'!J276</f>
        <v>0</v>
      </c>
      <c r="K271" s="1" t="e">
        <f t="array" ref="K271">_xlfn.XLOOKUP(DATEVALUE(A271),'Week Lookup Table'!A:A,'Week Lookup Table'!B:B)</f>
        <v>#VALUE!</v>
      </c>
      <c r="L271" s="1">
        <f>'Game Lines'!L276</f>
        <v>0</v>
      </c>
    </row>
    <row r="272" spans="1:12" ht="13" x14ac:dyDescent="0.15">
      <c r="A272" s="5">
        <f>'Game Lines'!A277</f>
        <v>0</v>
      </c>
      <c r="B272" s="1">
        <f>'Game Lines'!B277</f>
        <v>0</v>
      </c>
      <c r="C272" s="1">
        <f>'Game Lines'!C277</f>
        <v>0</v>
      </c>
      <c r="D272" s="1">
        <f>'Game Lines'!D277</f>
        <v>0</v>
      </c>
      <c r="E272" s="1">
        <f>'Game Lines'!E277</f>
        <v>0</v>
      </c>
      <c r="F272" s="1">
        <f>'Game Lines'!F277</f>
        <v>0</v>
      </c>
      <c r="G272" s="1">
        <f>'Game Lines'!G277</f>
        <v>0</v>
      </c>
      <c r="H272" s="1">
        <f>'Game Lines'!H277</f>
        <v>0</v>
      </c>
      <c r="I272" s="1">
        <f>'Game Lines'!I277</f>
        <v>0</v>
      </c>
      <c r="J272" s="5">
        <f>'Game Lines'!J277</f>
        <v>0</v>
      </c>
      <c r="K272" s="1" t="e">
        <f t="array" ref="K272">_xlfn.XLOOKUP(DATEVALUE(A272),'Week Lookup Table'!A:A,'Week Lookup Table'!B:B)</f>
        <v>#VALUE!</v>
      </c>
      <c r="L272" s="1">
        <f>'Game Lines'!L277</f>
        <v>0</v>
      </c>
    </row>
    <row r="273" spans="1:12" ht="13" x14ac:dyDescent="0.15">
      <c r="A273" s="1">
        <f>'Game Lines'!A278</f>
        <v>0</v>
      </c>
      <c r="B273" s="1">
        <f>'Game Lines'!B278</f>
        <v>0</v>
      </c>
      <c r="C273" s="1">
        <f>'Game Lines'!C278</f>
        <v>0</v>
      </c>
      <c r="D273" s="1">
        <f>'Game Lines'!D278</f>
        <v>0</v>
      </c>
      <c r="E273" s="1">
        <f>'Game Lines'!E278</f>
        <v>0</v>
      </c>
      <c r="F273" s="1">
        <f>'Game Lines'!F278</f>
        <v>0</v>
      </c>
      <c r="G273" s="1">
        <f>'Game Lines'!G278</f>
        <v>0</v>
      </c>
      <c r="H273" s="1">
        <f>'Game Lines'!H278</f>
        <v>0</v>
      </c>
      <c r="I273" s="1">
        <f>'Game Lines'!I278</f>
        <v>0</v>
      </c>
      <c r="J273" s="1">
        <f>'Game Lines'!J278</f>
        <v>0</v>
      </c>
      <c r="K273" s="11">
        <f>'Game Lines'!K278</f>
        <v>0</v>
      </c>
      <c r="L273" s="1">
        <f>'Game Lines'!L278</f>
        <v>0</v>
      </c>
    </row>
    <row r="274" spans="1:12" ht="13" x14ac:dyDescent="0.15">
      <c r="A274" s="1">
        <f>'Game Lines'!A279</f>
        <v>0</v>
      </c>
      <c r="B274" s="1">
        <f>'Game Lines'!B279</f>
        <v>0</v>
      </c>
      <c r="C274" s="1">
        <f>'Game Lines'!C279</f>
        <v>0</v>
      </c>
      <c r="D274" s="1">
        <f>'Game Lines'!D279</f>
        <v>0</v>
      </c>
      <c r="E274" s="1">
        <f>'Game Lines'!E279</f>
        <v>0</v>
      </c>
      <c r="F274" s="1">
        <f>'Game Lines'!F279</f>
        <v>0</v>
      </c>
      <c r="G274" s="1">
        <f>'Game Lines'!G279</f>
        <v>0</v>
      </c>
      <c r="H274" s="1">
        <f>'Game Lines'!H279</f>
        <v>0</v>
      </c>
      <c r="I274" s="1">
        <f>'Game Lines'!I279</f>
        <v>0</v>
      </c>
      <c r="J274" s="1">
        <f>'Game Lines'!J279</f>
        <v>0</v>
      </c>
      <c r="K274" s="11">
        <f>'Game Lines'!K279</f>
        <v>0</v>
      </c>
      <c r="L274" s="1">
        <f>'Game Lines'!L279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37"/>
  <sheetViews>
    <sheetView workbookViewId="0"/>
  </sheetViews>
  <sheetFormatPr baseColWidth="10" defaultColWidth="12.6640625" defaultRowHeight="15.75" customHeight="1" x14ac:dyDescent="0.15"/>
  <cols>
    <col min="1" max="1" width="20.1640625" customWidth="1"/>
    <col min="2" max="2" width="17.1640625" customWidth="1"/>
    <col min="3" max="3" width="18.5" bestFit="1" customWidth="1"/>
  </cols>
  <sheetData>
    <row r="1" spans="1:3" ht="15.75" customHeight="1" x14ac:dyDescent="0.15">
      <c r="A1" s="1" t="s">
        <v>53</v>
      </c>
      <c r="B1" s="1">
        <v>18</v>
      </c>
    </row>
    <row r="2" spans="1:3" ht="15.75" customHeight="1" x14ac:dyDescent="0.15">
      <c r="A2" s="1" t="s">
        <v>54</v>
      </c>
      <c r="B2" s="1">
        <v>482</v>
      </c>
    </row>
    <row r="3" spans="1:3" ht="15.75" customHeight="1" x14ac:dyDescent="0.15">
      <c r="A3" s="1" t="s">
        <v>55</v>
      </c>
      <c r="B3" s="5">
        <v>46282.684027777781</v>
      </c>
    </row>
    <row r="5" spans="1:3" ht="15.75" customHeight="1" x14ac:dyDescent="0.15">
      <c r="A5" s="1" t="s">
        <v>5</v>
      </c>
      <c r="B5" s="1" t="s">
        <v>56</v>
      </c>
      <c r="C5" s="1" t="s">
        <v>58</v>
      </c>
    </row>
    <row r="6" spans="1:3" ht="15.75" customHeight="1" x14ac:dyDescent="0.15">
      <c r="A6" s="1" t="s">
        <v>41</v>
      </c>
      <c r="B6" s="1">
        <v>7.5</v>
      </c>
      <c r="C6" s="5">
        <v>46282.683333333334</v>
      </c>
    </row>
    <row r="7" spans="1:3" ht="15.75" customHeight="1" x14ac:dyDescent="0.15">
      <c r="A7" s="1" t="s">
        <v>15</v>
      </c>
      <c r="B7" s="1">
        <v>10</v>
      </c>
      <c r="C7" s="5">
        <v>46282.683333333334</v>
      </c>
    </row>
    <row r="8" spans="1:3" ht="15.75" customHeight="1" x14ac:dyDescent="0.15">
      <c r="A8" s="1" t="s">
        <v>51</v>
      </c>
      <c r="B8" s="1">
        <v>10.5</v>
      </c>
      <c r="C8" s="5">
        <v>46282.683333333334</v>
      </c>
    </row>
    <row r="9" spans="1:3" ht="15.75" customHeight="1" x14ac:dyDescent="0.15">
      <c r="A9" s="1" t="s">
        <v>44</v>
      </c>
      <c r="B9" s="1">
        <v>12</v>
      </c>
      <c r="C9" s="5">
        <v>46282.683333333334</v>
      </c>
    </row>
    <row r="10" spans="1:3" ht="15.75" customHeight="1" x14ac:dyDescent="0.15">
      <c r="A10" s="1" t="s">
        <v>34</v>
      </c>
      <c r="B10" s="1">
        <v>15</v>
      </c>
      <c r="C10" s="5">
        <v>46282.683333333334</v>
      </c>
    </row>
    <row r="11" spans="1:3" ht="15.75" customHeight="1" x14ac:dyDescent="0.15">
      <c r="A11" s="1" t="s">
        <v>46</v>
      </c>
      <c r="B11" s="1">
        <v>15</v>
      </c>
      <c r="C11" s="5">
        <v>46282.683333333334</v>
      </c>
    </row>
    <row r="12" spans="1:3" ht="15.75" customHeight="1" x14ac:dyDescent="0.15">
      <c r="A12" s="1" t="s">
        <v>48</v>
      </c>
      <c r="B12" s="1">
        <v>18</v>
      </c>
      <c r="C12" s="5">
        <v>46282.683333333334</v>
      </c>
    </row>
    <row r="13" spans="1:3" ht="15.75" customHeight="1" x14ac:dyDescent="0.15">
      <c r="A13" s="1" t="s">
        <v>22</v>
      </c>
      <c r="B13" s="1">
        <v>19</v>
      </c>
      <c r="C13" s="5">
        <v>46282.683333333334</v>
      </c>
    </row>
    <row r="14" spans="1:3" ht="15.75" customHeight="1" x14ac:dyDescent="0.15">
      <c r="A14" s="1" t="s">
        <v>52</v>
      </c>
      <c r="B14" s="1">
        <v>20</v>
      </c>
      <c r="C14" s="5">
        <v>46282.683333333334</v>
      </c>
    </row>
    <row r="15" spans="1:3" ht="15.75" customHeight="1" x14ac:dyDescent="0.15">
      <c r="A15" s="1" t="s">
        <v>47</v>
      </c>
      <c r="B15" s="1">
        <v>20</v>
      </c>
      <c r="C15" s="5">
        <v>46282.683333333334</v>
      </c>
    </row>
    <row r="16" spans="1:3" ht="15.75" customHeight="1" x14ac:dyDescent="0.15">
      <c r="A16" s="1" t="s">
        <v>2</v>
      </c>
      <c r="B16" s="1">
        <v>21</v>
      </c>
      <c r="C16" s="5">
        <v>46282.683333333334</v>
      </c>
    </row>
    <row r="17" spans="1:3" ht="15.75" customHeight="1" x14ac:dyDescent="0.15">
      <c r="A17" s="1" t="s">
        <v>50</v>
      </c>
      <c r="B17" s="1">
        <v>21</v>
      </c>
      <c r="C17" s="5">
        <v>46282.683333333334</v>
      </c>
    </row>
    <row r="18" spans="1:3" ht="15.75" customHeight="1" x14ac:dyDescent="0.15">
      <c r="A18" s="1" t="s">
        <v>42</v>
      </c>
      <c r="B18" s="1">
        <v>21</v>
      </c>
      <c r="C18" s="5">
        <v>46282.683333333334</v>
      </c>
    </row>
    <row r="19" spans="1:3" ht="15.75" customHeight="1" x14ac:dyDescent="0.15">
      <c r="A19" s="1" t="s">
        <v>40</v>
      </c>
      <c r="B19" s="1">
        <v>22</v>
      </c>
      <c r="C19" s="5">
        <v>46282.683333333334</v>
      </c>
    </row>
    <row r="20" spans="1:3" ht="15.75" customHeight="1" x14ac:dyDescent="0.15">
      <c r="A20" s="1" t="s">
        <v>49</v>
      </c>
      <c r="B20" s="1">
        <v>22</v>
      </c>
      <c r="C20" s="5">
        <v>46282.683333333334</v>
      </c>
    </row>
    <row r="21" spans="1:3" ht="15.75" customHeight="1" x14ac:dyDescent="0.15">
      <c r="A21" s="1" t="s">
        <v>12</v>
      </c>
      <c r="B21" s="1">
        <v>26</v>
      </c>
      <c r="C21" s="5">
        <v>46282.683333333334</v>
      </c>
    </row>
    <row r="22" spans="1:3" ht="15.75" customHeight="1" x14ac:dyDescent="0.15">
      <c r="A22" s="1" t="s">
        <v>43</v>
      </c>
      <c r="B22" s="1">
        <v>26</v>
      </c>
      <c r="C22" s="5">
        <v>46282.683333333334</v>
      </c>
    </row>
    <row r="23" spans="1:3" ht="15.75" customHeight="1" x14ac:dyDescent="0.15">
      <c r="A23" s="1" t="s">
        <v>37</v>
      </c>
      <c r="B23" s="1">
        <v>41</v>
      </c>
      <c r="C23" s="5">
        <v>46282.683333333334</v>
      </c>
    </row>
    <row r="24" spans="1:3" ht="15.75" customHeight="1" x14ac:dyDescent="0.15">
      <c r="A24" s="1" t="s">
        <v>59</v>
      </c>
      <c r="B24" s="1">
        <v>51</v>
      </c>
      <c r="C24" s="5">
        <v>46282.683333333334</v>
      </c>
    </row>
    <row r="25" spans="1:3" ht="15.75" customHeight="1" x14ac:dyDescent="0.15">
      <c r="A25" s="1" t="s">
        <v>60</v>
      </c>
      <c r="B25" s="1">
        <v>51</v>
      </c>
      <c r="C25" s="5">
        <v>46282.683333333334</v>
      </c>
    </row>
    <row r="26" spans="1:3" ht="15.75" customHeight="1" x14ac:dyDescent="0.15">
      <c r="A26" s="1" t="s">
        <v>61</v>
      </c>
      <c r="B26" s="1">
        <v>56</v>
      </c>
      <c r="C26" s="5">
        <v>46282.683333333334</v>
      </c>
    </row>
    <row r="27" spans="1:3" ht="15.75" customHeight="1" x14ac:dyDescent="0.15">
      <c r="A27" s="1" t="s">
        <v>62</v>
      </c>
      <c r="B27" s="1">
        <v>66</v>
      </c>
      <c r="C27" s="5">
        <v>46282.683333333334</v>
      </c>
    </row>
    <row r="28" spans="1:3" ht="15.75" customHeight="1" x14ac:dyDescent="0.15">
      <c r="A28" s="1" t="s">
        <v>45</v>
      </c>
      <c r="B28" s="1">
        <v>66</v>
      </c>
      <c r="C28" s="5">
        <v>46282.683333333334</v>
      </c>
    </row>
    <row r="29" spans="1:3" ht="15.75" customHeight="1" x14ac:dyDescent="0.15">
      <c r="A29" s="1" t="s">
        <v>63</v>
      </c>
      <c r="B29" s="1">
        <v>91</v>
      </c>
      <c r="C29" s="5">
        <v>46282.683333333334</v>
      </c>
    </row>
    <row r="30" spans="1:3" ht="15.75" customHeight="1" x14ac:dyDescent="0.15">
      <c r="A30" s="1" t="s">
        <v>64</v>
      </c>
      <c r="B30" s="1">
        <v>91</v>
      </c>
      <c r="C30" s="5">
        <v>46282.683333333334</v>
      </c>
    </row>
    <row r="31" spans="1:3" ht="15.75" customHeight="1" x14ac:dyDescent="0.15">
      <c r="A31" s="1" t="s">
        <v>65</v>
      </c>
      <c r="B31" s="1">
        <v>131</v>
      </c>
      <c r="C31" s="5">
        <v>46282.683333333334</v>
      </c>
    </row>
    <row r="32" spans="1:3" ht="15.75" customHeight="1" x14ac:dyDescent="0.15">
      <c r="A32" s="1" t="s">
        <v>18</v>
      </c>
      <c r="B32" s="1">
        <v>151</v>
      </c>
      <c r="C32" s="5">
        <v>46282.683333333334</v>
      </c>
    </row>
    <row r="33" spans="1:3" ht="15.75" customHeight="1" x14ac:dyDescent="0.15">
      <c r="A33" s="1" t="s">
        <v>66</v>
      </c>
      <c r="B33" s="1">
        <v>201</v>
      </c>
      <c r="C33" s="5">
        <v>46282.683333333334</v>
      </c>
    </row>
    <row r="34" spans="1:3" ht="15.75" customHeight="1" x14ac:dyDescent="0.15">
      <c r="A34" s="1" t="s">
        <v>67</v>
      </c>
      <c r="B34" s="1">
        <v>251</v>
      </c>
      <c r="C34" s="5">
        <v>46282.683333333334</v>
      </c>
    </row>
    <row r="35" spans="1:3" ht="15.75" customHeight="1" x14ac:dyDescent="0.15">
      <c r="A35" s="1" t="s">
        <v>68</v>
      </c>
      <c r="B35" s="1">
        <v>301</v>
      </c>
      <c r="C35" s="5">
        <v>46282.683333333334</v>
      </c>
    </row>
    <row r="36" spans="1:3" ht="15.75" customHeight="1" x14ac:dyDescent="0.15">
      <c r="A36" s="1" t="s">
        <v>69</v>
      </c>
      <c r="B36" s="1">
        <v>301</v>
      </c>
      <c r="C36" s="5">
        <v>46282.683333333334</v>
      </c>
    </row>
    <row r="37" spans="1:3" ht="15.75" customHeight="1" x14ac:dyDescent="0.15">
      <c r="A37" s="1" t="s">
        <v>70</v>
      </c>
      <c r="B37" s="1">
        <v>501</v>
      </c>
      <c r="C37" s="5">
        <v>46282.683333333334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1000"/>
  <sheetViews>
    <sheetView workbookViewId="0"/>
  </sheetViews>
  <sheetFormatPr baseColWidth="10" defaultColWidth="12.6640625" defaultRowHeight="15.75" customHeight="1" x14ac:dyDescent="0.15"/>
  <cols>
    <col min="1" max="1" width="20.1640625" customWidth="1"/>
    <col min="3" max="3" width="16.5" customWidth="1"/>
    <col min="4" max="4" width="14.1640625" customWidth="1"/>
    <col min="5" max="5" width="17.5" customWidth="1"/>
    <col min="6" max="6" width="13.1640625" customWidth="1"/>
    <col min="7" max="7" width="22.6640625" customWidth="1"/>
    <col min="8" max="8" width="20.1640625" customWidth="1"/>
  </cols>
  <sheetData>
    <row r="1" spans="1:13" ht="15.75" customHeight="1" x14ac:dyDescent="0.15">
      <c r="A1" s="7" t="s">
        <v>5</v>
      </c>
      <c r="B1" s="7" t="s">
        <v>71</v>
      </c>
      <c r="C1" s="7" t="s">
        <v>72</v>
      </c>
      <c r="D1" s="7" t="s">
        <v>73</v>
      </c>
      <c r="E1" s="7" t="s">
        <v>74</v>
      </c>
      <c r="F1" s="7" t="s">
        <v>75</v>
      </c>
      <c r="G1" s="7" t="s">
        <v>76</v>
      </c>
      <c r="H1" s="7"/>
      <c r="I1" s="7"/>
      <c r="J1" s="7"/>
      <c r="K1" s="7"/>
      <c r="L1" s="7"/>
      <c r="M1" s="7"/>
    </row>
    <row r="2" spans="1:13" ht="15.75" customHeight="1" x14ac:dyDescent="0.15">
      <c r="A2" s="7" t="s">
        <v>15</v>
      </c>
      <c r="B2" s="7">
        <v>11.5</v>
      </c>
      <c r="C2" s="7" t="s">
        <v>77</v>
      </c>
      <c r="D2" s="7">
        <v>-140</v>
      </c>
      <c r="E2" s="7">
        <v>2.15</v>
      </c>
      <c r="F2" s="7">
        <v>1.71</v>
      </c>
      <c r="G2" s="8">
        <v>46268.6</v>
      </c>
      <c r="H2" s="7"/>
      <c r="I2" s="7"/>
      <c r="J2" s="7"/>
      <c r="K2" s="7"/>
      <c r="L2" s="7"/>
      <c r="M2" s="7"/>
    </row>
    <row r="3" spans="1:13" ht="15.75" customHeight="1" x14ac:dyDescent="0.15">
      <c r="A3" s="7" t="s">
        <v>41</v>
      </c>
      <c r="B3" s="7">
        <v>11.5</v>
      </c>
      <c r="C3" s="7">
        <v>-130</v>
      </c>
      <c r="D3" s="7" t="s">
        <v>78</v>
      </c>
      <c r="E3" s="7">
        <v>1.77</v>
      </c>
      <c r="F3" s="7">
        <v>2.1</v>
      </c>
      <c r="G3" s="8">
        <v>46268.6</v>
      </c>
      <c r="H3" s="7"/>
      <c r="I3" s="7"/>
      <c r="J3" s="7"/>
      <c r="K3" s="7"/>
      <c r="L3" s="7"/>
      <c r="M3" s="7"/>
    </row>
    <row r="4" spans="1:13" ht="15.75" customHeight="1" x14ac:dyDescent="0.15">
      <c r="A4" s="7" t="s">
        <v>51</v>
      </c>
      <c r="B4" s="7">
        <v>10.5</v>
      </c>
      <c r="C4" s="7">
        <v>-120</v>
      </c>
      <c r="D4" s="7" t="s">
        <v>79</v>
      </c>
      <c r="E4" s="7">
        <v>1.83</v>
      </c>
      <c r="F4" s="7">
        <v>2</v>
      </c>
      <c r="G4" s="8">
        <v>46268.6</v>
      </c>
      <c r="H4" s="7"/>
      <c r="I4" s="7"/>
      <c r="J4" s="7"/>
      <c r="K4" s="7"/>
      <c r="L4" s="7"/>
      <c r="M4" s="7"/>
    </row>
    <row r="5" spans="1:13" ht="15.75" customHeight="1" x14ac:dyDescent="0.15">
      <c r="A5" s="7" t="s">
        <v>47</v>
      </c>
      <c r="B5" s="7">
        <v>10.5</v>
      </c>
      <c r="C5" s="7" t="s">
        <v>77</v>
      </c>
      <c r="D5" s="7">
        <v>-140</v>
      </c>
      <c r="E5" s="7">
        <v>2.15</v>
      </c>
      <c r="F5" s="7">
        <v>1.71</v>
      </c>
      <c r="G5" s="8">
        <v>46268.6</v>
      </c>
      <c r="H5" s="7"/>
      <c r="I5" s="7"/>
      <c r="J5" s="7"/>
      <c r="K5" s="7"/>
      <c r="L5" s="7"/>
      <c r="M5" s="7"/>
    </row>
    <row r="6" spans="1:13" ht="15.75" customHeight="1" x14ac:dyDescent="0.15">
      <c r="A6" s="7" t="s">
        <v>22</v>
      </c>
      <c r="B6" s="7">
        <v>10.5</v>
      </c>
      <c r="C6" s="7">
        <v>-115</v>
      </c>
      <c r="D6" s="7">
        <v>-105</v>
      </c>
      <c r="E6" s="7">
        <v>1.87</v>
      </c>
      <c r="F6" s="7">
        <v>1.95</v>
      </c>
      <c r="G6" s="8">
        <v>46268.6</v>
      </c>
      <c r="H6" s="7"/>
      <c r="I6" s="7"/>
      <c r="J6" s="7"/>
      <c r="K6" s="7"/>
      <c r="L6" s="7"/>
      <c r="M6" s="7"/>
    </row>
    <row r="7" spans="1:13" ht="15.75" customHeight="1" x14ac:dyDescent="0.15">
      <c r="A7" s="7" t="s">
        <v>46</v>
      </c>
      <c r="B7" s="7">
        <v>10.5</v>
      </c>
      <c r="C7" s="7" t="s">
        <v>77</v>
      </c>
      <c r="D7" s="7">
        <v>-140</v>
      </c>
      <c r="E7" s="7">
        <v>2.15</v>
      </c>
      <c r="F7" s="7">
        <v>1.71</v>
      </c>
      <c r="G7" s="8">
        <v>46268.6</v>
      </c>
      <c r="H7" s="7"/>
      <c r="I7" s="7"/>
      <c r="J7" s="7"/>
      <c r="K7" s="7"/>
      <c r="L7" s="7"/>
      <c r="M7" s="7"/>
    </row>
    <row r="8" spans="1:13" ht="15.75" customHeight="1" x14ac:dyDescent="0.15">
      <c r="A8" s="7" t="s">
        <v>40</v>
      </c>
      <c r="B8" s="7">
        <v>10.5</v>
      </c>
      <c r="C8" s="7" t="s">
        <v>77</v>
      </c>
      <c r="D8" s="7">
        <v>-140</v>
      </c>
      <c r="E8" s="7">
        <v>2.15</v>
      </c>
      <c r="F8" s="7">
        <v>1.71</v>
      </c>
      <c r="G8" s="8">
        <v>46268.6</v>
      </c>
      <c r="H8" s="7"/>
      <c r="I8" s="7"/>
      <c r="J8" s="7"/>
      <c r="K8" s="7"/>
      <c r="L8" s="7"/>
      <c r="M8" s="7"/>
    </row>
    <row r="9" spans="1:13" ht="15.75" customHeight="1" x14ac:dyDescent="0.15">
      <c r="A9" s="7" t="s">
        <v>48</v>
      </c>
      <c r="B9" s="7">
        <v>10.5</v>
      </c>
      <c r="C9" s="7" t="s">
        <v>77</v>
      </c>
      <c r="D9" s="7">
        <v>-140</v>
      </c>
      <c r="E9" s="7">
        <v>2.15</v>
      </c>
      <c r="F9" s="7">
        <v>1.71</v>
      </c>
      <c r="G9" s="8">
        <v>46268.6</v>
      </c>
      <c r="H9" s="7"/>
      <c r="I9" s="7"/>
      <c r="J9" s="7"/>
      <c r="K9" s="7"/>
      <c r="L9" s="7"/>
      <c r="M9" s="7"/>
    </row>
    <row r="10" spans="1:13" ht="15.75" customHeight="1" x14ac:dyDescent="0.15">
      <c r="A10" s="7" t="s">
        <v>44</v>
      </c>
      <c r="B10" s="7">
        <v>10.5</v>
      </c>
      <c r="C10" s="7">
        <v>-115</v>
      </c>
      <c r="D10" s="7">
        <v>-105</v>
      </c>
      <c r="E10" s="7">
        <v>1.87</v>
      </c>
      <c r="F10" s="7">
        <v>1.95</v>
      </c>
      <c r="G10" s="8">
        <v>46268.6</v>
      </c>
      <c r="H10" s="7"/>
      <c r="I10" s="7"/>
      <c r="J10" s="7"/>
      <c r="K10" s="7"/>
      <c r="L10" s="7"/>
      <c r="M10" s="7"/>
    </row>
    <row r="11" spans="1:13" ht="15.75" customHeight="1" x14ac:dyDescent="0.15">
      <c r="A11" s="7" t="s">
        <v>49</v>
      </c>
      <c r="B11" s="7">
        <v>9.5</v>
      </c>
      <c r="C11" s="7" t="s">
        <v>80</v>
      </c>
      <c r="D11" s="7">
        <v>-125</v>
      </c>
      <c r="E11" s="7">
        <v>2.0499999999999998</v>
      </c>
      <c r="F11" s="7">
        <v>1.8</v>
      </c>
      <c r="G11" s="8">
        <v>46268.6</v>
      </c>
      <c r="H11" s="7"/>
      <c r="I11" s="7"/>
      <c r="J11" s="7"/>
      <c r="K11" s="7"/>
      <c r="L11" s="7"/>
      <c r="M11" s="7"/>
    </row>
    <row r="12" spans="1:13" ht="15.75" customHeight="1" x14ac:dyDescent="0.15">
      <c r="A12" s="7" t="s">
        <v>43</v>
      </c>
      <c r="B12" s="7">
        <v>9.5</v>
      </c>
      <c r="C12" s="7" t="s">
        <v>79</v>
      </c>
      <c r="D12" s="7">
        <v>-120</v>
      </c>
      <c r="E12" s="7">
        <v>2</v>
      </c>
      <c r="F12" s="7">
        <v>1.83</v>
      </c>
      <c r="G12" s="8">
        <v>46268.6</v>
      </c>
      <c r="H12" s="7"/>
      <c r="I12" s="7"/>
      <c r="J12" s="7"/>
      <c r="K12" s="7"/>
      <c r="L12" s="7"/>
      <c r="M12" s="7"/>
    </row>
    <row r="13" spans="1:13" ht="15.75" customHeight="1" x14ac:dyDescent="0.15">
      <c r="A13" s="7" t="s">
        <v>42</v>
      </c>
      <c r="B13" s="7">
        <v>9.5</v>
      </c>
      <c r="C13" s="7">
        <v>-115</v>
      </c>
      <c r="D13" s="7">
        <v>-105</v>
      </c>
      <c r="E13" s="7">
        <v>1.87</v>
      </c>
      <c r="F13" s="7">
        <v>1.95</v>
      </c>
      <c r="G13" s="8">
        <v>46268.6</v>
      </c>
      <c r="H13" s="7"/>
      <c r="I13" s="7"/>
      <c r="J13" s="7"/>
      <c r="K13" s="7"/>
      <c r="L13" s="7"/>
      <c r="M13" s="7"/>
    </row>
    <row r="14" spans="1:13" ht="15.75" customHeight="1" x14ac:dyDescent="0.15">
      <c r="A14" s="7" t="s">
        <v>50</v>
      </c>
      <c r="B14" s="7">
        <v>9.5</v>
      </c>
      <c r="C14" s="7">
        <v>-130</v>
      </c>
      <c r="D14" s="7" t="s">
        <v>78</v>
      </c>
      <c r="E14" s="7">
        <v>1.77</v>
      </c>
      <c r="F14" s="7">
        <v>2.1</v>
      </c>
      <c r="G14" s="8">
        <v>46268.6</v>
      </c>
      <c r="H14" s="7"/>
      <c r="I14" s="7"/>
      <c r="J14" s="7"/>
      <c r="K14" s="7"/>
      <c r="L14" s="7"/>
      <c r="M14" s="7"/>
    </row>
    <row r="15" spans="1:13" ht="15.75" customHeight="1" x14ac:dyDescent="0.15">
      <c r="A15" s="7" t="s">
        <v>52</v>
      </c>
      <c r="B15" s="7">
        <v>9.5</v>
      </c>
      <c r="C15" s="7">
        <v>-146</v>
      </c>
      <c r="D15" s="7" t="s">
        <v>81</v>
      </c>
      <c r="E15" s="7">
        <v>1.68</v>
      </c>
      <c r="F15" s="7">
        <v>2.2400000000000002</v>
      </c>
      <c r="G15" s="8">
        <v>46268.6</v>
      </c>
      <c r="H15" s="7"/>
      <c r="I15" s="7"/>
      <c r="J15" s="7"/>
      <c r="K15" s="7"/>
      <c r="L15" s="7"/>
      <c r="M15" s="7"/>
    </row>
    <row r="16" spans="1:13" ht="15.75" customHeight="1" x14ac:dyDescent="0.15">
      <c r="A16" s="7" t="s">
        <v>2</v>
      </c>
      <c r="B16" s="7">
        <v>9.5</v>
      </c>
      <c r="C16" s="7">
        <v>-140</v>
      </c>
      <c r="D16" s="7" t="s">
        <v>77</v>
      </c>
      <c r="E16" s="7">
        <v>1.71</v>
      </c>
      <c r="F16" s="7">
        <v>2.15</v>
      </c>
      <c r="G16" s="8">
        <v>46268.6</v>
      </c>
      <c r="H16" s="7"/>
      <c r="I16" s="7"/>
      <c r="J16" s="7"/>
      <c r="K16" s="7"/>
      <c r="L16" s="7"/>
      <c r="M16" s="7"/>
    </row>
    <row r="17" spans="1:13" ht="15.75" customHeight="1" x14ac:dyDescent="0.15">
      <c r="A17" s="7" t="s">
        <v>34</v>
      </c>
      <c r="B17" s="7">
        <v>9.5</v>
      </c>
      <c r="C17" s="7">
        <v>-146</v>
      </c>
      <c r="D17" s="7" t="s">
        <v>82</v>
      </c>
      <c r="E17" s="7">
        <v>1.68</v>
      </c>
      <c r="F17" s="7">
        <v>2.2000000000000002</v>
      </c>
      <c r="G17" s="8">
        <v>46268.6</v>
      </c>
      <c r="H17" s="7"/>
      <c r="I17" s="7"/>
      <c r="J17" s="7"/>
      <c r="K17" s="7"/>
      <c r="L17" s="7"/>
      <c r="M17" s="7"/>
    </row>
    <row r="18" spans="1:13" ht="15.75" customHeight="1" x14ac:dyDescent="0.15">
      <c r="A18" s="7" t="s">
        <v>12</v>
      </c>
      <c r="B18" s="7">
        <v>8.5</v>
      </c>
      <c r="C18" s="7">
        <v>-140</v>
      </c>
      <c r="D18" s="7" t="s">
        <v>83</v>
      </c>
      <c r="E18" s="7">
        <v>1.71</v>
      </c>
      <c r="F18" s="7">
        <v>2.16</v>
      </c>
      <c r="G18" s="8">
        <v>46268.6</v>
      </c>
      <c r="H18" s="7"/>
      <c r="I18" s="7"/>
      <c r="J18" s="7"/>
      <c r="K18" s="7"/>
      <c r="L18" s="7"/>
      <c r="M18" s="7"/>
    </row>
    <row r="19" spans="1:13" ht="15.75" customHeight="1" x14ac:dyDescent="0.15">
      <c r="A19" s="7" t="s">
        <v>37</v>
      </c>
      <c r="B19" s="7">
        <v>8.5</v>
      </c>
      <c r="C19" s="7">
        <v>-120</v>
      </c>
      <c r="D19" s="7" t="s">
        <v>79</v>
      </c>
      <c r="E19" s="7">
        <v>1.83</v>
      </c>
      <c r="F19" s="7">
        <v>2</v>
      </c>
      <c r="G19" s="8">
        <v>46268.6</v>
      </c>
      <c r="H19" s="7"/>
      <c r="I19" s="7"/>
      <c r="J19" s="7"/>
      <c r="K19" s="7"/>
      <c r="L19" s="7"/>
      <c r="M19" s="7"/>
    </row>
    <row r="20" spans="1:13" ht="15.75" customHeight="1" x14ac:dyDescent="0.15">
      <c r="A20" s="7" t="s">
        <v>59</v>
      </c>
      <c r="B20" s="7">
        <v>8.5</v>
      </c>
      <c r="C20" s="7" t="s">
        <v>78</v>
      </c>
      <c r="D20" s="7">
        <v>-130</v>
      </c>
      <c r="E20" s="7">
        <v>2.1</v>
      </c>
      <c r="F20" s="7">
        <v>1.77</v>
      </c>
      <c r="G20" s="8">
        <v>46268.6</v>
      </c>
      <c r="H20" s="7"/>
      <c r="I20" s="7"/>
      <c r="J20" s="7"/>
      <c r="K20" s="7"/>
      <c r="L20" s="7"/>
      <c r="M20" s="7"/>
    </row>
    <row r="21" spans="1:13" ht="15.75" customHeight="1" x14ac:dyDescent="0.15">
      <c r="A21" s="7" t="s">
        <v>61</v>
      </c>
      <c r="B21" s="7">
        <v>8.5</v>
      </c>
      <c r="C21" s="7" t="s">
        <v>77</v>
      </c>
      <c r="D21" s="7">
        <v>-136</v>
      </c>
      <c r="E21" s="7">
        <v>2.15</v>
      </c>
      <c r="F21" s="7">
        <v>1.74</v>
      </c>
      <c r="G21" s="8">
        <v>46268.6</v>
      </c>
      <c r="H21" s="7"/>
      <c r="I21" s="7"/>
      <c r="J21" s="7"/>
      <c r="K21" s="7"/>
      <c r="L21" s="7"/>
      <c r="M21" s="7"/>
    </row>
    <row r="22" spans="1:13" ht="15.75" customHeight="1" x14ac:dyDescent="0.15">
      <c r="A22" s="7" t="s">
        <v>65</v>
      </c>
      <c r="B22" s="7">
        <v>7.5</v>
      </c>
      <c r="C22" s="7" t="s">
        <v>82</v>
      </c>
      <c r="D22" s="7">
        <v>-140</v>
      </c>
      <c r="E22" s="7">
        <v>2.2000000000000002</v>
      </c>
      <c r="F22" s="7">
        <v>1.71</v>
      </c>
      <c r="G22" s="8">
        <v>46268.6</v>
      </c>
      <c r="H22" s="7"/>
      <c r="I22" s="7"/>
      <c r="J22" s="7"/>
      <c r="K22" s="7"/>
      <c r="L22" s="7"/>
      <c r="M22" s="7"/>
    </row>
    <row r="23" spans="1:13" ht="15.75" customHeight="1" x14ac:dyDescent="0.15">
      <c r="A23" s="7" t="s">
        <v>64</v>
      </c>
      <c r="B23" s="7">
        <v>7.5</v>
      </c>
      <c r="C23" s="7" t="s">
        <v>77</v>
      </c>
      <c r="D23" s="7">
        <v>-136</v>
      </c>
      <c r="E23" s="7">
        <v>2.15</v>
      </c>
      <c r="F23" s="7">
        <v>1.74</v>
      </c>
      <c r="G23" s="8">
        <v>46268.6</v>
      </c>
      <c r="H23" s="7"/>
      <c r="I23" s="7"/>
      <c r="J23" s="7"/>
      <c r="K23" s="7"/>
      <c r="L23" s="7"/>
      <c r="M23" s="7"/>
    </row>
    <row r="24" spans="1:13" ht="15.75" customHeight="1" x14ac:dyDescent="0.15">
      <c r="A24" s="7" t="s">
        <v>45</v>
      </c>
      <c r="B24" s="7">
        <v>7.5</v>
      </c>
      <c r="C24" s="7">
        <v>-140</v>
      </c>
      <c r="D24" s="7" t="s">
        <v>77</v>
      </c>
      <c r="E24" s="7">
        <v>1.71</v>
      </c>
      <c r="F24" s="7">
        <v>2.15</v>
      </c>
      <c r="G24" s="8">
        <v>46268.6</v>
      </c>
      <c r="H24" s="7"/>
      <c r="I24" s="7"/>
      <c r="J24" s="7"/>
      <c r="K24" s="7"/>
      <c r="L24" s="7"/>
      <c r="M24" s="7"/>
    </row>
    <row r="25" spans="1:13" ht="15.75" customHeight="1" x14ac:dyDescent="0.15">
      <c r="A25" s="7" t="s">
        <v>63</v>
      </c>
      <c r="B25" s="7">
        <v>7.5</v>
      </c>
      <c r="C25" s="7">
        <v>-120</v>
      </c>
      <c r="D25" s="7" t="s">
        <v>79</v>
      </c>
      <c r="E25" s="7">
        <v>1.83</v>
      </c>
      <c r="F25" s="7">
        <v>2</v>
      </c>
      <c r="G25" s="8">
        <v>46268.6</v>
      </c>
      <c r="H25" s="7"/>
      <c r="I25" s="7"/>
      <c r="J25" s="7"/>
      <c r="K25" s="7"/>
      <c r="L25" s="7"/>
      <c r="M25" s="7"/>
    </row>
    <row r="26" spans="1:13" ht="15.75" customHeight="1" x14ac:dyDescent="0.15">
      <c r="A26" s="7" t="s">
        <v>60</v>
      </c>
      <c r="B26" s="7">
        <v>7.5</v>
      </c>
      <c r="C26" s="7">
        <v>-110</v>
      </c>
      <c r="D26" s="7">
        <v>-110</v>
      </c>
      <c r="E26" s="7">
        <v>1.91</v>
      </c>
      <c r="F26" s="7">
        <v>1.91</v>
      </c>
      <c r="G26" s="8">
        <v>46268.6</v>
      </c>
      <c r="H26" s="7"/>
      <c r="I26" s="7"/>
      <c r="J26" s="7"/>
      <c r="K26" s="7"/>
      <c r="L26" s="7"/>
      <c r="M26" s="7"/>
    </row>
    <row r="27" spans="1:13" ht="15.75" customHeight="1" x14ac:dyDescent="0.15">
      <c r="A27" s="7" t="s">
        <v>62</v>
      </c>
      <c r="B27" s="7">
        <v>7.5</v>
      </c>
      <c r="C27" s="7" t="s">
        <v>80</v>
      </c>
      <c r="D27" s="7">
        <v>-125</v>
      </c>
      <c r="E27" s="7">
        <v>2.0499999999999998</v>
      </c>
      <c r="F27" s="7">
        <v>1.8</v>
      </c>
      <c r="G27" s="8">
        <v>46268.6</v>
      </c>
      <c r="H27" s="7"/>
      <c r="I27" s="7"/>
      <c r="J27" s="7"/>
      <c r="K27" s="7"/>
      <c r="L27" s="7"/>
      <c r="M27" s="7"/>
    </row>
    <row r="28" spans="1:13" ht="15.75" customHeight="1" x14ac:dyDescent="0.15">
      <c r="A28" s="7" t="s">
        <v>66</v>
      </c>
      <c r="B28" s="7">
        <v>6.5</v>
      </c>
      <c r="C28" s="7" t="s">
        <v>79</v>
      </c>
      <c r="D28" s="7">
        <v>-120</v>
      </c>
      <c r="E28" s="7">
        <v>2</v>
      </c>
      <c r="F28" s="7">
        <v>1.83</v>
      </c>
      <c r="G28" s="8">
        <v>46268.6</v>
      </c>
      <c r="H28" s="7"/>
      <c r="I28" s="7"/>
      <c r="J28" s="7"/>
      <c r="K28" s="7"/>
      <c r="L28" s="7"/>
      <c r="M28" s="7"/>
    </row>
    <row r="29" spans="1:13" ht="15.75" customHeight="1" x14ac:dyDescent="0.15">
      <c r="A29" s="7" t="s">
        <v>68</v>
      </c>
      <c r="B29" s="7">
        <v>5.5</v>
      </c>
      <c r="C29" s="7">
        <v>-125</v>
      </c>
      <c r="D29" s="7" t="s">
        <v>80</v>
      </c>
      <c r="E29" s="7">
        <v>1.8</v>
      </c>
      <c r="F29" s="7">
        <v>2.0499999999999998</v>
      </c>
      <c r="G29" s="8">
        <v>46268.6</v>
      </c>
      <c r="H29" s="7"/>
      <c r="I29" s="7"/>
      <c r="J29" s="7"/>
      <c r="K29" s="7"/>
      <c r="L29" s="7"/>
      <c r="M29" s="7"/>
    </row>
    <row r="30" spans="1:13" ht="15.75" customHeight="1" x14ac:dyDescent="0.15">
      <c r="A30" s="7" t="s">
        <v>18</v>
      </c>
      <c r="B30" s="7">
        <v>5.5</v>
      </c>
      <c r="C30" s="7">
        <v>-150</v>
      </c>
      <c r="D30" s="7" t="s">
        <v>84</v>
      </c>
      <c r="E30" s="7">
        <v>1.67</v>
      </c>
      <c r="F30" s="7">
        <v>2.25</v>
      </c>
      <c r="G30" s="8">
        <v>46268.6</v>
      </c>
      <c r="H30" s="7"/>
      <c r="I30" s="7"/>
      <c r="J30" s="7"/>
      <c r="K30" s="7"/>
      <c r="L30" s="7"/>
      <c r="M30" s="7"/>
    </row>
    <row r="31" spans="1:13" ht="15.75" customHeight="1" x14ac:dyDescent="0.15">
      <c r="A31" s="7" t="s">
        <v>67</v>
      </c>
      <c r="B31" s="7">
        <v>5.5</v>
      </c>
      <c r="C31" s="7">
        <v>-115</v>
      </c>
      <c r="D31" s="7">
        <v>-105</v>
      </c>
      <c r="E31" s="7">
        <v>1.87</v>
      </c>
      <c r="F31" s="7">
        <v>1.95</v>
      </c>
      <c r="G31" s="8">
        <v>46268.6</v>
      </c>
      <c r="H31" s="7"/>
      <c r="I31" s="7"/>
      <c r="J31" s="7"/>
      <c r="K31" s="7"/>
      <c r="L31" s="7"/>
      <c r="M31" s="7"/>
    </row>
    <row r="32" spans="1:13" ht="15.75" customHeight="1" x14ac:dyDescent="0.15">
      <c r="A32" s="7" t="s">
        <v>69</v>
      </c>
      <c r="B32" s="7">
        <v>3.5</v>
      </c>
      <c r="C32" s="7">
        <v>-136</v>
      </c>
      <c r="D32" s="7" t="s">
        <v>77</v>
      </c>
      <c r="E32" s="7">
        <v>1.74</v>
      </c>
      <c r="F32" s="7">
        <v>2.15</v>
      </c>
      <c r="G32" s="8">
        <v>46268.6</v>
      </c>
      <c r="H32" s="7"/>
      <c r="I32" s="7"/>
      <c r="J32" s="7"/>
      <c r="K32" s="7"/>
      <c r="L32" s="7"/>
      <c r="M32" s="7"/>
    </row>
    <row r="33" spans="1:13" ht="15.75" customHeight="1" x14ac:dyDescent="0.15">
      <c r="A33" s="7" t="s">
        <v>70</v>
      </c>
      <c r="B33" s="7">
        <v>3.5</v>
      </c>
      <c r="C33" s="7">
        <v>-140</v>
      </c>
      <c r="D33" s="7" t="s">
        <v>78</v>
      </c>
      <c r="E33" s="7">
        <v>1.71</v>
      </c>
      <c r="F33" s="7">
        <v>2.1</v>
      </c>
      <c r="G33" s="8">
        <v>46268.6</v>
      </c>
      <c r="H33" s="7"/>
      <c r="I33" s="7"/>
      <c r="J33" s="7"/>
      <c r="K33" s="7"/>
      <c r="L33" s="7"/>
      <c r="M33" s="7"/>
    </row>
    <row r="34" spans="1:13" ht="15.75" customHeight="1" x14ac:dyDescent="0.15">
      <c r="E34" s="1"/>
      <c r="G34" s="7"/>
    </row>
    <row r="35" spans="1:13" ht="15.75" customHeight="1" x14ac:dyDescent="0.15">
      <c r="G35" s="7"/>
    </row>
    <row r="36" spans="1:13" ht="15.75" customHeight="1" x14ac:dyDescent="0.15">
      <c r="G36" s="7"/>
    </row>
    <row r="37" spans="1:13" ht="15.75" customHeight="1" x14ac:dyDescent="0.15">
      <c r="G37" s="7"/>
    </row>
    <row r="38" spans="1:13" ht="15.75" customHeight="1" x14ac:dyDescent="0.15">
      <c r="G38" s="7"/>
    </row>
    <row r="39" spans="1:13" ht="15.75" customHeight="1" x14ac:dyDescent="0.15">
      <c r="G39" s="7"/>
    </row>
    <row r="40" spans="1:13" ht="15.75" customHeight="1" x14ac:dyDescent="0.15">
      <c r="G40" s="7"/>
    </row>
    <row r="41" spans="1:13" ht="15.75" customHeight="1" x14ac:dyDescent="0.15">
      <c r="G41" s="7"/>
    </row>
    <row r="42" spans="1:13" ht="15.75" customHeight="1" x14ac:dyDescent="0.15">
      <c r="G42" s="7"/>
    </row>
    <row r="43" spans="1:13" ht="15.75" customHeight="1" x14ac:dyDescent="0.15">
      <c r="G43" s="7"/>
    </row>
    <row r="44" spans="1:13" ht="15.75" customHeight="1" x14ac:dyDescent="0.15">
      <c r="G44" s="7"/>
    </row>
    <row r="45" spans="1:13" ht="15.75" customHeight="1" x14ac:dyDescent="0.15">
      <c r="G45" s="7"/>
    </row>
    <row r="46" spans="1:13" ht="15.75" customHeight="1" x14ac:dyDescent="0.15">
      <c r="G46" s="7"/>
    </row>
    <row r="47" spans="1:13" ht="15.75" customHeight="1" x14ac:dyDescent="0.15">
      <c r="G47" s="7"/>
    </row>
    <row r="48" spans="1:13" ht="15.75" customHeight="1" x14ac:dyDescent="0.15">
      <c r="G48" s="7"/>
    </row>
    <row r="49" spans="7:7" ht="15.75" customHeight="1" x14ac:dyDescent="0.15">
      <c r="G49" s="7"/>
    </row>
    <row r="50" spans="7:7" ht="15.75" customHeight="1" x14ac:dyDescent="0.15">
      <c r="G50" s="7"/>
    </row>
    <row r="51" spans="7:7" ht="15.75" customHeight="1" x14ac:dyDescent="0.15">
      <c r="G51" s="7"/>
    </row>
    <row r="52" spans="7:7" ht="13" x14ac:dyDescent="0.15">
      <c r="G52" s="7"/>
    </row>
    <row r="53" spans="7:7" ht="13" x14ac:dyDescent="0.15">
      <c r="G53" s="7"/>
    </row>
    <row r="54" spans="7:7" ht="13" x14ac:dyDescent="0.15">
      <c r="G54" s="7"/>
    </row>
    <row r="55" spans="7:7" ht="13" x14ac:dyDescent="0.15">
      <c r="G55" s="7"/>
    </row>
    <row r="56" spans="7:7" ht="13" x14ac:dyDescent="0.15">
      <c r="G56" s="7"/>
    </row>
    <row r="57" spans="7:7" ht="13" x14ac:dyDescent="0.15">
      <c r="G57" s="7"/>
    </row>
    <row r="58" spans="7:7" ht="13" x14ac:dyDescent="0.15">
      <c r="G58" s="7"/>
    </row>
    <row r="59" spans="7:7" ht="13" x14ac:dyDescent="0.15">
      <c r="G59" s="7"/>
    </row>
    <row r="60" spans="7:7" ht="13" x14ac:dyDescent="0.15">
      <c r="G60" s="7"/>
    </row>
    <row r="61" spans="7:7" ht="13" x14ac:dyDescent="0.15">
      <c r="G61" s="7"/>
    </row>
    <row r="62" spans="7:7" ht="13" x14ac:dyDescent="0.15">
      <c r="G62" s="7"/>
    </row>
    <row r="63" spans="7:7" ht="13" x14ac:dyDescent="0.15">
      <c r="G63" s="7"/>
    </row>
    <row r="64" spans="7:7" ht="13" x14ac:dyDescent="0.15">
      <c r="G64" s="7"/>
    </row>
    <row r="65" spans="7:7" ht="13" x14ac:dyDescent="0.15">
      <c r="G65" s="7"/>
    </row>
    <row r="66" spans="7:7" ht="13" x14ac:dyDescent="0.15">
      <c r="G66" s="7"/>
    </row>
    <row r="67" spans="7:7" ht="13" x14ac:dyDescent="0.15">
      <c r="G67" s="7"/>
    </row>
    <row r="68" spans="7:7" ht="13" x14ac:dyDescent="0.15">
      <c r="G68" s="7"/>
    </row>
    <row r="69" spans="7:7" ht="13" x14ac:dyDescent="0.15">
      <c r="G69" s="7"/>
    </row>
    <row r="70" spans="7:7" ht="13" x14ac:dyDescent="0.15">
      <c r="G70" s="7"/>
    </row>
    <row r="71" spans="7:7" ht="13" x14ac:dyDescent="0.15">
      <c r="G71" s="7"/>
    </row>
    <row r="72" spans="7:7" ht="13" x14ac:dyDescent="0.15">
      <c r="G72" s="7"/>
    </row>
    <row r="73" spans="7:7" ht="13" x14ac:dyDescent="0.15">
      <c r="G73" s="7"/>
    </row>
    <row r="74" spans="7:7" ht="13" x14ac:dyDescent="0.15">
      <c r="G74" s="7"/>
    </row>
    <row r="75" spans="7:7" ht="13" x14ac:dyDescent="0.15">
      <c r="G75" s="7"/>
    </row>
    <row r="76" spans="7:7" ht="13" x14ac:dyDescent="0.15">
      <c r="G76" s="7"/>
    </row>
    <row r="77" spans="7:7" ht="13" x14ac:dyDescent="0.15">
      <c r="G77" s="7"/>
    </row>
    <row r="78" spans="7:7" ht="13" x14ac:dyDescent="0.15">
      <c r="G78" s="7"/>
    </row>
    <row r="79" spans="7:7" ht="13" x14ac:dyDescent="0.15">
      <c r="G79" s="7"/>
    </row>
    <row r="80" spans="7:7" ht="13" x14ac:dyDescent="0.15">
      <c r="G80" s="7"/>
    </row>
    <row r="81" spans="7:7" ht="13" x14ac:dyDescent="0.15">
      <c r="G81" s="7"/>
    </row>
    <row r="82" spans="7:7" ht="13" x14ac:dyDescent="0.15">
      <c r="G82" s="7"/>
    </row>
    <row r="83" spans="7:7" ht="13" x14ac:dyDescent="0.15">
      <c r="G83" s="7"/>
    </row>
    <row r="84" spans="7:7" ht="13" x14ac:dyDescent="0.15">
      <c r="G84" s="7"/>
    </row>
    <row r="85" spans="7:7" ht="13" x14ac:dyDescent="0.15">
      <c r="G85" s="7"/>
    </row>
    <row r="86" spans="7:7" ht="13" x14ac:dyDescent="0.15">
      <c r="G86" s="7"/>
    </row>
    <row r="87" spans="7:7" ht="13" x14ac:dyDescent="0.15">
      <c r="G87" s="7"/>
    </row>
    <row r="88" spans="7:7" ht="13" x14ac:dyDescent="0.15">
      <c r="G88" s="7"/>
    </row>
    <row r="89" spans="7:7" ht="13" x14ac:dyDescent="0.15">
      <c r="G89" s="7"/>
    </row>
    <row r="90" spans="7:7" ht="13" x14ac:dyDescent="0.15">
      <c r="G90" s="7"/>
    </row>
    <row r="91" spans="7:7" ht="13" x14ac:dyDescent="0.15">
      <c r="G91" s="7"/>
    </row>
    <row r="92" spans="7:7" ht="13" x14ac:dyDescent="0.15">
      <c r="G92" s="7"/>
    </row>
    <row r="93" spans="7:7" ht="13" x14ac:dyDescent="0.15">
      <c r="G93" s="7"/>
    </row>
    <row r="94" spans="7:7" ht="13" x14ac:dyDescent="0.15">
      <c r="G94" s="7"/>
    </row>
    <row r="95" spans="7:7" ht="13" x14ac:dyDescent="0.15">
      <c r="G95" s="7"/>
    </row>
    <row r="96" spans="7:7" ht="13" x14ac:dyDescent="0.15">
      <c r="G96" s="7"/>
    </row>
    <row r="97" spans="7:7" ht="13" x14ac:dyDescent="0.15">
      <c r="G97" s="7"/>
    </row>
    <row r="98" spans="7:7" ht="13" x14ac:dyDescent="0.15">
      <c r="G98" s="7"/>
    </row>
    <row r="99" spans="7:7" ht="13" x14ac:dyDescent="0.15">
      <c r="G99" s="7"/>
    </row>
    <row r="100" spans="7:7" ht="13" x14ac:dyDescent="0.15">
      <c r="G100" s="7"/>
    </row>
    <row r="101" spans="7:7" ht="13" x14ac:dyDescent="0.15">
      <c r="G101" s="7"/>
    </row>
    <row r="102" spans="7:7" ht="13" x14ac:dyDescent="0.15">
      <c r="G102" s="7"/>
    </row>
    <row r="103" spans="7:7" ht="13" x14ac:dyDescent="0.15">
      <c r="G103" s="7"/>
    </row>
    <row r="104" spans="7:7" ht="13" x14ac:dyDescent="0.15">
      <c r="G104" s="7"/>
    </row>
    <row r="105" spans="7:7" ht="13" x14ac:dyDescent="0.15">
      <c r="G105" s="7"/>
    </row>
    <row r="106" spans="7:7" ht="13" x14ac:dyDescent="0.15">
      <c r="G106" s="7"/>
    </row>
    <row r="107" spans="7:7" ht="13" x14ac:dyDescent="0.15">
      <c r="G107" s="7"/>
    </row>
    <row r="108" spans="7:7" ht="13" x14ac:dyDescent="0.15">
      <c r="G108" s="7"/>
    </row>
    <row r="109" spans="7:7" ht="13" x14ac:dyDescent="0.15">
      <c r="G109" s="7"/>
    </row>
    <row r="110" spans="7:7" ht="13" x14ac:dyDescent="0.15">
      <c r="G110" s="7"/>
    </row>
    <row r="111" spans="7:7" ht="13" x14ac:dyDescent="0.15">
      <c r="G111" s="7"/>
    </row>
    <row r="112" spans="7:7" ht="13" x14ac:dyDescent="0.15">
      <c r="G112" s="7"/>
    </row>
    <row r="113" spans="7:7" ht="13" x14ac:dyDescent="0.15">
      <c r="G113" s="7"/>
    </row>
    <row r="114" spans="7:7" ht="13" x14ac:dyDescent="0.15">
      <c r="G114" s="7"/>
    </row>
    <row r="115" spans="7:7" ht="13" x14ac:dyDescent="0.15">
      <c r="G115" s="7"/>
    </row>
    <row r="116" spans="7:7" ht="13" x14ac:dyDescent="0.15">
      <c r="G116" s="7"/>
    </row>
    <row r="117" spans="7:7" ht="13" x14ac:dyDescent="0.15">
      <c r="G117" s="7"/>
    </row>
    <row r="118" spans="7:7" ht="13" x14ac:dyDescent="0.15">
      <c r="G118" s="7"/>
    </row>
    <row r="119" spans="7:7" ht="13" x14ac:dyDescent="0.15">
      <c r="G119" s="7"/>
    </row>
    <row r="120" spans="7:7" ht="13" x14ac:dyDescent="0.15">
      <c r="G120" s="7"/>
    </row>
    <row r="121" spans="7:7" ht="13" x14ac:dyDescent="0.15">
      <c r="G121" s="7"/>
    </row>
    <row r="122" spans="7:7" ht="13" x14ac:dyDescent="0.15">
      <c r="G122" s="7"/>
    </row>
    <row r="123" spans="7:7" ht="13" x14ac:dyDescent="0.15">
      <c r="G123" s="7"/>
    </row>
    <row r="124" spans="7:7" ht="13" x14ac:dyDescent="0.15">
      <c r="G124" s="7"/>
    </row>
    <row r="125" spans="7:7" ht="13" x14ac:dyDescent="0.15">
      <c r="G125" s="7"/>
    </row>
    <row r="126" spans="7:7" ht="13" x14ac:dyDescent="0.15">
      <c r="G126" s="7"/>
    </row>
    <row r="127" spans="7:7" ht="13" x14ac:dyDescent="0.15">
      <c r="G127" s="7"/>
    </row>
    <row r="128" spans="7:7" ht="13" x14ac:dyDescent="0.15">
      <c r="G128" s="7"/>
    </row>
    <row r="129" spans="7:7" ht="13" x14ac:dyDescent="0.15">
      <c r="G129" s="7"/>
    </row>
    <row r="130" spans="7:7" ht="13" x14ac:dyDescent="0.15">
      <c r="G130" s="7"/>
    </row>
    <row r="131" spans="7:7" ht="13" x14ac:dyDescent="0.15">
      <c r="G131" s="7"/>
    </row>
    <row r="132" spans="7:7" ht="13" x14ac:dyDescent="0.15">
      <c r="G132" s="7"/>
    </row>
    <row r="133" spans="7:7" ht="13" x14ac:dyDescent="0.15">
      <c r="G133" s="7"/>
    </row>
    <row r="134" spans="7:7" ht="13" x14ac:dyDescent="0.15">
      <c r="G134" s="7"/>
    </row>
    <row r="135" spans="7:7" ht="13" x14ac:dyDescent="0.15">
      <c r="G135" s="7"/>
    </row>
    <row r="136" spans="7:7" ht="13" x14ac:dyDescent="0.15">
      <c r="G136" s="7"/>
    </row>
    <row r="137" spans="7:7" ht="13" x14ac:dyDescent="0.15">
      <c r="G137" s="7"/>
    </row>
    <row r="138" spans="7:7" ht="13" x14ac:dyDescent="0.15">
      <c r="G138" s="7"/>
    </row>
    <row r="139" spans="7:7" ht="13" x14ac:dyDescent="0.15">
      <c r="G139" s="7"/>
    </row>
    <row r="140" spans="7:7" ht="13" x14ac:dyDescent="0.15">
      <c r="G140" s="7"/>
    </row>
    <row r="141" spans="7:7" ht="13" x14ac:dyDescent="0.15">
      <c r="G141" s="7"/>
    </row>
    <row r="142" spans="7:7" ht="13" x14ac:dyDescent="0.15">
      <c r="G142" s="7"/>
    </row>
    <row r="143" spans="7:7" ht="13" x14ac:dyDescent="0.15">
      <c r="G143" s="7"/>
    </row>
    <row r="144" spans="7:7" ht="13" x14ac:dyDescent="0.15">
      <c r="G144" s="7"/>
    </row>
    <row r="145" spans="7:7" ht="13" x14ac:dyDescent="0.15">
      <c r="G145" s="7"/>
    </row>
    <row r="146" spans="7:7" ht="13" x14ac:dyDescent="0.15">
      <c r="G146" s="7"/>
    </row>
    <row r="147" spans="7:7" ht="13" x14ac:dyDescent="0.15">
      <c r="G147" s="7"/>
    </row>
    <row r="148" spans="7:7" ht="13" x14ac:dyDescent="0.15">
      <c r="G148" s="7"/>
    </row>
    <row r="149" spans="7:7" ht="13" x14ac:dyDescent="0.15">
      <c r="G149" s="7"/>
    </row>
    <row r="150" spans="7:7" ht="13" x14ac:dyDescent="0.15">
      <c r="G150" s="7"/>
    </row>
    <row r="151" spans="7:7" ht="13" x14ac:dyDescent="0.15">
      <c r="G151" s="7"/>
    </row>
    <row r="152" spans="7:7" ht="13" x14ac:dyDescent="0.15">
      <c r="G152" s="7"/>
    </row>
    <row r="153" spans="7:7" ht="13" x14ac:dyDescent="0.15">
      <c r="G153" s="7"/>
    </row>
    <row r="154" spans="7:7" ht="13" x14ac:dyDescent="0.15">
      <c r="G154" s="7"/>
    </row>
    <row r="155" spans="7:7" ht="13" x14ac:dyDescent="0.15">
      <c r="G155" s="7"/>
    </row>
    <row r="156" spans="7:7" ht="13" x14ac:dyDescent="0.15">
      <c r="G156" s="7"/>
    </row>
    <row r="157" spans="7:7" ht="13" x14ac:dyDescent="0.15">
      <c r="G157" s="7"/>
    </row>
    <row r="158" spans="7:7" ht="13" x14ac:dyDescent="0.15">
      <c r="G158" s="7"/>
    </row>
    <row r="159" spans="7:7" ht="13" x14ac:dyDescent="0.15">
      <c r="G159" s="7"/>
    </row>
    <row r="160" spans="7:7" ht="13" x14ac:dyDescent="0.15">
      <c r="G160" s="7"/>
    </row>
    <row r="161" spans="7:7" ht="13" x14ac:dyDescent="0.15">
      <c r="G161" s="7"/>
    </row>
    <row r="162" spans="7:7" ht="13" x14ac:dyDescent="0.15">
      <c r="G162" s="7"/>
    </row>
    <row r="163" spans="7:7" ht="13" x14ac:dyDescent="0.15">
      <c r="G163" s="7"/>
    </row>
    <row r="164" spans="7:7" ht="13" x14ac:dyDescent="0.15">
      <c r="G164" s="7"/>
    </row>
    <row r="165" spans="7:7" ht="13" x14ac:dyDescent="0.15">
      <c r="G165" s="7"/>
    </row>
    <row r="166" spans="7:7" ht="13" x14ac:dyDescent="0.15">
      <c r="G166" s="7"/>
    </row>
    <row r="167" spans="7:7" ht="13" x14ac:dyDescent="0.15">
      <c r="G167" s="7"/>
    </row>
    <row r="168" spans="7:7" ht="13" x14ac:dyDescent="0.15">
      <c r="G168" s="7"/>
    </row>
    <row r="169" spans="7:7" ht="13" x14ac:dyDescent="0.15">
      <c r="G169" s="7"/>
    </row>
    <row r="170" spans="7:7" ht="13" x14ac:dyDescent="0.15">
      <c r="G170" s="7"/>
    </row>
    <row r="171" spans="7:7" ht="13" x14ac:dyDescent="0.15">
      <c r="G171" s="7"/>
    </row>
    <row r="172" spans="7:7" ht="13" x14ac:dyDescent="0.15">
      <c r="G172" s="7"/>
    </row>
    <row r="173" spans="7:7" ht="13" x14ac:dyDescent="0.15">
      <c r="G173" s="7"/>
    </row>
    <row r="174" spans="7:7" ht="13" x14ac:dyDescent="0.15">
      <c r="G174" s="7"/>
    </row>
    <row r="175" spans="7:7" ht="13" x14ac:dyDescent="0.15">
      <c r="G175" s="7"/>
    </row>
    <row r="176" spans="7:7" ht="13" x14ac:dyDescent="0.15">
      <c r="G176" s="7"/>
    </row>
    <row r="177" spans="7:7" ht="13" x14ac:dyDescent="0.15">
      <c r="G177" s="7"/>
    </row>
    <row r="178" spans="7:7" ht="13" x14ac:dyDescent="0.15">
      <c r="G178" s="7"/>
    </row>
    <row r="179" spans="7:7" ht="13" x14ac:dyDescent="0.15">
      <c r="G179" s="7"/>
    </row>
    <row r="180" spans="7:7" ht="13" x14ac:dyDescent="0.15">
      <c r="G180" s="7"/>
    </row>
    <row r="181" spans="7:7" ht="13" x14ac:dyDescent="0.15">
      <c r="G181" s="7"/>
    </row>
    <row r="182" spans="7:7" ht="13" x14ac:dyDescent="0.15">
      <c r="G182" s="7"/>
    </row>
    <row r="183" spans="7:7" ht="13" x14ac:dyDescent="0.15">
      <c r="G183" s="7"/>
    </row>
    <row r="184" spans="7:7" ht="13" x14ac:dyDescent="0.15">
      <c r="G184" s="7"/>
    </row>
    <row r="185" spans="7:7" ht="13" x14ac:dyDescent="0.15">
      <c r="G185" s="7"/>
    </row>
    <row r="186" spans="7:7" ht="13" x14ac:dyDescent="0.15">
      <c r="G186" s="7"/>
    </row>
    <row r="187" spans="7:7" ht="13" x14ac:dyDescent="0.15">
      <c r="G187" s="7"/>
    </row>
    <row r="188" spans="7:7" ht="13" x14ac:dyDescent="0.15">
      <c r="G188" s="7"/>
    </row>
    <row r="189" spans="7:7" ht="13" x14ac:dyDescent="0.15">
      <c r="G189" s="7"/>
    </row>
    <row r="190" spans="7:7" ht="13" x14ac:dyDescent="0.15">
      <c r="G190" s="7"/>
    </row>
    <row r="191" spans="7:7" ht="13" x14ac:dyDescent="0.15">
      <c r="G191" s="7"/>
    </row>
    <row r="192" spans="7:7" ht="13" x14ac:dyDescent="0.15">
      <c r="G192" s="7"/>
    </row>
    <row r="193" spans="7:7" ht="13" x14ac:dyDescent="0.15">
      <c r="G193" s="7"/>
    </row>
    <row r="194" spans="7:7" ht="13" x14ac:dyDescent="0.15">
      <c r="G194" s="7"/>
    </row>
    <row r="195" spans="7:7" ht="13" x14ac:dyDescent="0.15">
      <c r="G195" s="7"/>
    </row>
    <row r="196" spans="7:7" ht="13" x14ac:dyDescent="0.15">
      <c r="G196" s="7"/>
    </row>
    <row r="197" spans="7:7" ht="13" x14ac:dyDescent="0.15">
      <c r="G197" s="7"/>
    </row>
    <row r="198" spans="7:7" ht="13" x14ac:dyDescent="0.15">
      <c r="G198" s="7"/>
    </row>
    <row r="199" spans="7:7" ht="13" x14ac:dyDescent="0.15">
      <c r="G199" s="7"/>
    </row>
    <row r="200" spans="7:7" ht="13" x14ac:dyDescent="0.15">
      <c r="G200" s="7"/>
    </row>
    <row r="201" spans="7:7" ht="13" x14ac:dyDescent="0.15">
      <c r="G201" s="7"/>
    </row>
    <row r="202" spans="7:7" ht="13" x14ac:dyDescent="0.15">
      <c r="G202" s="7"/>
    </row>
    <row r="203" spans="7:7" ht="13" x14ac:dyDescent="0.15">
      <c r="G203" s="7"/>
    </row>
    <row r="204" spans="7:7" ht="13" x14ac:dyDescent="0.15">
      <c r="G204" s="7"/>
    </row>
    <row r="205" spans="7:7" ht="13" x14ac:dyDescent="0.15">
      <c r="G205" s="7"/>
    </row>
    <row r="206" spans="7:7" ht="13" x14ac:dyDescent="0.15">
      <c r="G206" s="7"/>
    </row>
    <row r="207" spans="7:7" ht="13" x14ac:dyDescent="0.15">
      <c r="G207" s="7"/>
    </row>
    <row r="208" spans="7:7" ht="13" x14ac:dyDescent="0.15">
      <c r="G208" s="7"/>
    </row>
    <row r="209" spans="7:7" ht="13" x14ac:dyDescent="0.15">
      <c r="G209" s="7"/>
    </row>
    <row r="210" spans="7:7" ht="13" x14ac:dyDescent="0.15">
      <c r="G210" s="7"/>
    </row>
    <row r="211" spans="7:7" ht="13" x14ac:dyDescent="0.15">
      <c r="G211" s="7"/>
    </row>
    <row r="212" spans="7:7" ht="13" x14ac:dyDescent="0.15">
      <c r="G212" s="7"/>
    </row>
    <row r="213" spans="7:7" ht="13" x14ac:dyDescent="0.15">
      <c r="G213" s="7"/>
    </row>
    <row r="214" spans="7:7" ht="13" x14ac:dyDescent="0.15">
      <c r="G214" s="7"/>
    </row>
    <row r="215" spans="7:7" ht="13" x14ac:dyDescent="0.15">
      <c r="G215" s="7"/>
    </row>
    <row r="216" spans="7:7" ht="13" x14ac:dyDescent="0.15">
      <c r="G216" s="7"/>
    </row>
    <row r="217" spans="7:7" ht="13" x14ac:dyDescent="0.15">
      <c r="G217" s="7"/>
    </row>
    <row r="218" spans="7:7" ht="13" x14ac:dyDescent="0.15">
      <c r="G218" s="7"/>
    </row>
    <row r="219" spans="7:7" ht="13" x14ac:dyDescent="0.15">
      <c r="G219" s="7"/>
    </row>
    <row r="220" spans="7:7" ht="13" x14ac:dyDescent="0.15">
      <c r="G220" s="7"/>
    </row>
    <row r="221" spans="7:7" ht="13" x14ac:dyDescent="0.15">
      <c r="G221" s="7"/>
    </row>
    <row r="222" spans="7:7" ht="13" x14ac:dyDescent="0.15">
      <c r="G222" s="7"/>
    </row>
    <row r="223" spans="7:7" ht="13" x14ac:dyDescent="0.15">
      <c r="G223" s="7"/>
    </row>
    <row r="224" spans="7:7" ht="13" x14ac:dyDescent="0.15">
      <c r="G224" s="7"/>
    </row>
    <row r="225" spans="7:7" ht="13" x14ac:dyDescent="0.15">
      <c r="G225" s="7"/>
    </row>
    <row r="226" spans="7:7" ht="13" x14ac:dyDescent="0.15">
      <c r="G226" s="7"/>
    </row>
    <row r="227" spans="7:7" ht="13" x14ac:dyDescent="0.15">
      <c r="G227" s="7"/>
    </row>
    <row r="228" spans="7:7" ht="13" x14ac:dyDescent="0.15">
      <c r="G228" s="7"/>
    </row>
    <row r="229" spans="7:7" ht="13" x14ac:dyDescent="0.15">
      <c r="G229" s="7"/>
    </row>
    <row r="230" spans="7:7" ht="13" x14ac:dyDescent="0.15">
      <c r="G230" s="7"/>
    </row>
    <row r="231" spans="7:7" ht="13" x14ac:dyDescent="0.15">
      <c r="G231" s="7"/>
    </row>
    <row r="232" spans="7:7" ht="13" x14ac:dyDescent="0.15">
      <c r="G232" s="7"/>
    </row>
    <row r="233" spans="7:7" ht="13" x14ac:dyDescent="0.15">
      <c r="G233" s="7"/>
    </row>
    <row r="234" spans="7:7" ht="13" x14ac:dyDescent="0.15">
      <c r="G234" s="7"/>
    </row>
    <row r="235" spans="7:7" ht="13" x14ac:dyDescent="0.15">
      <c r="G235" s="7"/>
    </row>
    <row r="236" spans="7:7" ht="13" x14ac:dyDescent="0.15">
      <c r="G236" s="7"/>
    </row>
    <row r="237" spans="7:7" ht="13" x14ac:dyDescent="0.15">
      <c r="G237" s="7"/>
    </row>
    <row r="238" spans="7:7" ht="13" x14ac:dyDescent="0.15">
      <c r="G238" s="7"/>
    </row>
    <row r="239" spans="7:7" ht="13" x14ac:dyDescent="0.15">
      <c r="G239" s="7"/>
    </row>
    <row r="240" spans="7:7" ht="13" x14ac:dyDescent="0.15">
      <c r="G240" s="7"/>
    </row>
    <row r="241" spans="7:7" ht="13" x14ac:dyDescent="0.15">
      <c r="G241" s="7"/>
    </row>
    <row r="242" spans="7:7" ht="13" x14ac:dyDescent="0.15">
      <c r="G242" s="7"/>
    </row>
    <row r="243" spans="7:7" ht="13" x14ac:dyDescent="0.15">
      <c r="G243" s="7"/>
    </row>
    <row r="244" spans="7:7" ht="13" x14ac:dyDescent="0.15">
      <c r="G244" s="7"/>
    </row>
    <row r="245" spans="7:7" ht="13" x14ac:dyDescent="0.15">
      <c r="G245" s="7"/>
    </row>
    <row r="246" spans="7:7" ht="13" x14ac:dyDescent="0.15">
      <c r="G246" s="7"/>
    </row>
    <row r="247" spans="7:7" ht="13" x14ac:dyDescent="0.15">
      <c r="G247" s="7"/>
    </row>
    <row r="248" spans="7:7" ht="13" x14ac:dyDescent="0.15">
      <c r="G248" s="7"/>
    </row>
    <row r="249" spans="7:7" ht="13" x14ac:dyDescent="0.15">
      <c r="G249" s="7"/>
    </row>
    <row r="250" spans="7:7" ht="13" x14ac:dyDescent="0.15">
      <c r="G250" s="7"/>
    </row>
    <row r="251" spans="7:7" ht="13" x14ac:dyDescent="0.15">
      <c r="G251" s="7"/>
    </row>
    <row r="252" spans="7:7" ht="13" x14ac:dyDescent="0.15">
      <c r="G252" s="7"/>
    </row>
    <row r="253" spans="7:7" ht="13" x14ac:dyDescent="0.15">
      <c r="G253" s="7"/>
    </row>
    <row r="254" spans="7:7" ht="13" x14ac:dyDescent="0.15">
      <c r="G254" s="7"/>
    </row>
    <row r="255" spans="7:7" ht="13" x14ac:dyDescent="0.15">
      <c r="G255" s="7"/>
    </row>
    <row r="256" spans="7:7" ht="13" x14ac:dyDescent="0.15">
      <c r="G256" s="7"/>
    </row>
    <row r="257" spans="7:7" ht="13" x14ac:dyDescent="0.15">
      <c r="G257" s="7"/>
    </row>
    <row r="258" spans="7:7" ht="13" x14ac:dyDescent="0.15">
      <c r="G258" s="7"/>
    </row>
    <row r="259" spans="7:7" ht="13" x14ac:dyDescent="0.15">
      <c r="G259" s="7"/>
    </row>
    <row r="260" spans="7:7" ht="13" x14ac:dyDescent="0.15">
      <c r="G260" s="7"/>
    </row>
    <row r="261" spans="7:7" ht="13" x14ac:dyDescent="0.15">
      <c r="G261" s="7"/>
    </row>
    <row r="262" spans="7:7" ht="13" x14ac:dyDescent="0.15">
      <c r="G262" s="7"/>
    </row>
    <row r="263" spans="7:7" ht="13" x14ac:dyDescent="0.15">
      <c r="G263" s="7"/>
    </row>
    <row r="264" spans="7:7" ht="13" x14ac:dyDescent="0.15">
      <c r="G264" s="7"/>
    </row>
    <row r="265" spans="7:7" ht="13" x14ac:dyDescent="0.15">
      <c r="G265" s="7"/>
    </row>
    <row r="266" spans="7:7" ht="13" x14ac:dyDescent="0.15">
      <c r="G266" s="7"/>
    </row>
    <row r="267" spans="7:7" ht="13" x14ac:dyDescent="0.15">
      <c r="G267" s="7"/>
    </row>
    <row r="268" spans="7:7" ht="13" x14ac:dyDescent="0.15">
      <c r="G268" s="7"/>
    </row>
    <row r="269" spans="7:7" ht="13" x14ac:dyDescent="0.15">
      <c r="G269" s="7"/>
    </row>
    <row r="270" spans="7:7" ht="13" x14ac:dyDescent="0.15">
      <c r="G270" s="7"/>
    </row>
    <row r="271" spans="7:7" ht="13" x14ac:dyDescent="0.15">
      <c r="G271" s="7"/>
    </row>
    <row r="272" spans="7:7" ht="13" x14ac:dyDescent="0.15">
      <c r="G272" s="7"/>
    </row>
    <row r="273" spans="7:7" ht="13" x14ac:dyDescent="0.15">
      <c r="G273" s="7"/>
    </row>
    <row r="274" spans="7:7" ht="13" x14ac:dyDescent="0.15">
      <c r="G274" s="7"/>
    </row>
    <row r="275" spans="7:7" ht="13" x14ac:dyDescent="0.15">
      <c r="G275" s="7"/>
    </row>
    <row r="276" spans="7:7" ht="13" x14ac:dyDescent="0.15">
      <c r="G276" s="7"/>
    </row>
    <row r="277" spans="7:7" ht="13" x14ac:dyDescent="0.15">
      <c r="G277" s="7"/>
    </row>
    <row r="278" spans="7:7" ht="13" x14ac:dyDescent="0.15">
      <c r="G278" s="7"/>
    </row>
    <row r="279" spans="7:7" ht="13" x14ac:dyDescent="0.15">
      <c r="G279" s="7"/>
    </row>
    <row r="280" spans="7:7" ht="13" x14ac:dyDescent="0.15">
      <c r="G280" s="7"/>
    </row>
    <row r="281" spans="7:7" ht="13" x14ac:dyDescent="0.15">
      <c r="G281" s="7"/>
    </row>
    <row r="282" spans="7:7" ht="13" x14ac:dyDescent="0.15">
      <c r="G282" s="7"/>
    </row>
    <row r="283" spans="7:7" ht="13" x14ac:dyDescent="0.15">
      <c r="G283" s="7"/>
    </row>
    <row r="284" spans="7:7" ht="13" x14ac:dyDescent="0.15">
      <c r="G284" s="7"/>
    </row>
    <row r="285" spans="7:7" ht="13" x14ac:dyDescent="0.15">
      <c r="G285" s="7"/>
    </row>
    <row r="286" spans="7:7" ht="13" x14ac:dyDescent="0.15">
      <c r="G286" s="7"/>
    </row>
    <row r="287" spans="7:7" ht="13" x14ac:dyDescent="0.15">
      <c r="G287" s="7"/>
    </row>
    <row r="288" spans="7:7" ht="13" x14ac:dyDescent="0.15">
      <c r="G288" s="7"/>
    </row>
    <row r="289" spans="7:7" ht="13" x14ac:dyDescent="0.15">
      <c r="G289" s="7"/>
    </row>
    <row r="290" spans="7:7" ht="13" x14ac:dyDescent="0.15">
      <c r="G290" s="7"/>
    </row>
    <row r="291" spans="7:7" ht="13" x14ac:dyDescent="0.15">
      <c r="G291" s="7"/>
    </row>
    <row r="292" spans="7:7" ht="13" x14ac:dyDescent="0.15">
      <c r="G292" s="7"/>
    </row>
    <row r="293" spans="7:7" ht="13" x14ac:dyDescent="0.15">
      <c r="G293" s="7"/>
    </row>
    <row r="294" spans="7:7" ht="13" x14ac:dyDescent="0.15">
      <c r="G294" s="7"/>
    </row>
    <row r="295" spans="7:7" ht="13" x14ac:dyDescent="0.15">
      <c r="G295" s="7"/>
    </row>
    <row r="296" spans="7:7" ht="13" x14ac:dyDescent="0.15">
      <c r="G296" s="7"/>
    </row>
    <row r="297" spans="7:7" ht="13" x14ac:dyDescent="0.15">
      <c r="G297" s="7"/>
    </row>
    <row r="298" spans="7:7" ht="13" x14ac:dyDescent="0.15">
      <c r="G298" s="7"/>
    </row>
    <row r="299" spans="7:7" ht="13" x14ac:dyDescent="0.15">
      <c r="G299" s="7"/>
    </row>
    <row r="300" spans="7:7" ht="13" x14ac:dyDescent="0.15">
      <c r="G300" s="7"/>
    </row>
    <row r="301" spans="7:7" ht="13" x14ac:dyDescent="0.15">
      <c r="G301" s="7"/>
    </row>
    <row r="302" spans="7:7" ht="13" x14ac:dyDescent="0.15">
      <c r="G302" s="7"/>
    </row>
    <row r="303" spans="7:7" ht="13" x14ac:dyDescent="0.15">
      <c r="G303" s="7"/>
    </row>
    <row r="304" spans="7:7" ht="13" x14ac:dyDescent="0.15">
      <c r="G304" s="7"/>
    </row>
    <row r="305" spans="7:7" ht="13" x14ac:dyDescent="0.15">
      <c r="G305" s="7"/>
    </row>
    <row r="306" spans="7:7" ht="13" x14ac:dyDescent="0.15">
      <c r="G306" s="7"/>
    </row>
    <row r="307" spans="7:7" ht="13" x14ac:dyDescent="0.15">
      <c r="G307" s="7"/>
    </row>
    <row r="308" spans="7:7" ht="13" x14ac:dyDescent="0.15">
      <c r="G308" s="7"/>
    </row>
    <row r="309" spans="7:7" ht="13" x14ac:dyDescent="0.15">
      <c r="G309" s="7"/>
    </row>
    <row r="310" spans="7:7" ht="13" x14ac:dyDescent="0.15">
      <c r="G310" s="7"/>
    </row>
    <row r="311" spans="7:7" ht="13" x14ac:dyDescent="0.15">
      <c r="G311" s="7"/>
    </row>
    <row r="312" spans="7:7" ht="13" x14ac:dyDescent="0.15">
      <c r="G312" s="7"/>
    </row>
    <row r="313" spans="7:7" ht="13" x14ac:dyDescent="0.15">
      <c r="G313" s="7"/>
    </row>
    <row r="314" spans="7:7" ht="13" x14ac:dyDescent="0.15">
      <c r="G314" s="7"/>
    </row>
    <row r="315" spans="7:7" ht="13" x14ac:dyDescent="0.15">
      <c r="G315" s="7"/>
    </row>
    <row r="316" spans="7:7" ht="13" x14ac:dyDescent="0.15">
      <c r="G316" s="7"/>
    </row>
    <row r="317" spans="7:7" ht="13" x14ac:dyDescent="0.15">
      <c r="G317" s="7"/>
    </row>
    <row r="318" spans="7:7" ht="13" x14ac:dyDescent="0.15">
      <c r="G318" s="7"/>
    </row>
    <row r="319" spans="7:7" ht="13" x14ac:dyDescent="0.15">
      <c r="G319" s="7"/>
    </row>
    <row r="320" spans="7:7" ht="13" x14ac:dyDescent="0.15">
      <c r="G320" s="7"/>
    </row>
    <row r="321" spans="7:7" ht="13" x14ac:dyDescent="0.15">
      <c r="G321" s="7"/>
    </row>
    <row r="322" spans="7:7" ht="13" x14ac:dyDescent="0.15">
      <c r="G322" s="7"/>
    </row>
    <row r="323" spans="7:7" ht="13" x14ac:dyDescent="0.15">
      <c r="G323" s="7"/>
    </row>
    <row r="324" spans="7:7" ht="13" x14ac:dyDescent="0.15">
      <c r="G324" s="7"/>
    </row>
    <row r="325" spans="7:7" ht="13" x14ac:dyDescent="0.15">
      <c r="G325" s="7"/>
    </row>
    <row r="326" spans="7:7" ht="13" x14ac:dyDescent="0.15">
      <c r="G326" s="7"/>
    </row>
    <row r="327" spans="7:7" ht="13" x14ac:dyDescent="0.15">
      <c r="G327" s="7"/>
    </row>
    <row r="328" spans="7:7" ht="13" x14ac:dyDescent="0.15">
      <c r="G328" s="7"/>
    </row>
    <row r="329" spans="7:7" ht="13" x14ac:dyDescent="0.15">
      <c r="G329" s="7"/>
    </row>
    <row r="330" spans="7:7" ht="13" x14ac:dyDescent="0.15">
      <c r="G330" s="7"/>
    </row>
    <row r="331" spans="7:7" ht="13" x14ac:dyDescent="0.15">
      <c r="G331" s="7"/>
    </row>
    <row r="332" spans="7:7" ht="13" x14ac:dyDescent="0.15">
      <c r="G332" s="7"/>
    </row>
    <row r="333" spans="7:7" ht="13" x14ac:dyDescent="0.15">
      <c r="G333" s="7"/>
    </row>
    <row r="334" spans="7:7" ht="13" x14ac:dyDescent="0.15">
      <c r="G334" s="7"/>
    </row>
    <row r="335" spans="7:7" ht="13" x14ac:dyDescent="0.15">
      <c r="G335" s="7"/>
    </row>
    <row r="336" spans="7:7" ht="13" x14ac:dyDescent="0.15">
      <c r="G336" s="7"/>
    </row>
    <row r="337" spans="7:7" ht="13" x14ac:dyDescent="0.15">
      <c r="G337" s="7"/>
    </row>
    <row r="338" spans="7:7" ht="13" x14ac:dyDescent="0.15">
      <c r="G338" s="7"/>
    </row>
    <row r="339" spans="7:7" ht="13" x14ac:dyDescent="0.15">
      <c r="G339" s="7"/>
    </row>
    <row r="340" spans="7:7" ht="13" x14ac:dyDescent="0.15">
      <c r="G340" s="7"/>
    </row>
    <row r="341" spans="7:7" ht="13" x14ac:dyDescent="0.15">
      <c r="G341" s="7"/>
    </row>
    <row r="342" spans="7:7" ht="13" x14ac:dyDescent="0.15">
      <c r="G342" s="7"/>
    </row>
    <row r="343" spans="7:7" ht="13" x14ac:dyDescent="0.15">
      <c r="G343" s="7"/>
    </row>
    <row r="344" spans="7:7" ht="13" x14ac:dyDescent="0.15">
      <c r="G344" s="7"/>
    </row>
    <row r="345" spans="7:7" ht="13" x14ac:dyDescent="0.15">
      <c r="G345" s="7"/>
    </row>
    <row r="346" spans="7:7" ht="13" x14ac:dyDescent="0.15">
      <c r="G346" s="7"/>
    </row>
    <row r="347" spans="7:7" ht="13" x14ac:dyDescent="0.15">
      <c r="G347" s="7"/>
    </row>
    <row r="348" spans="7:7" ht="13" x14ac:dyDescent="0.15">
      <c r="G348" s="7"/>
    </row>
    <row r="349" spans="7:7" ht="13" x14ac:dyDescent="0.15">
      <c r="G349" s="7"/>
    </row>
    <row r="350" spans="7:7" ht="13" x14ac:dyDescent="0.15">
      <c r="G350" s="7"/>
    </row>
    <row r="351" spans="7:7" ht="13" x14ac:dyDescent="0.15">
      <c r="G351" s="7"/>
    </row>
    <row r="352" spans="7:7" ht="13" x14ac:dyDescent="0.15">
      <c r="G352" s="7"/>
    </row>
    <row r="353" spans="7:7" ht="13" x14ac:dyDescent="0.15">
      <c r="G353" s="7"/>
    </row>
    <row r="354" spans="7:7" ht="13" x14ac:dyDescent="0.15">
      <c r="G354" s="7"/>
    </row>
    <row r="355" spans="7:7" ht="13" x14ac:dyDescent="0.15">
      <c r="G355" s="7"/>
    </row>
    <row r="356" spans="7:7" ht="13" x14ac:dyDescent="0.15">
      <c r="G356" s="7"/>
    </row>
    <row r="357" spans="7:7" ht="13" x14ac:dyDescent="0.15">
      <c r="G357" s="7"/>
    </row>
    <row r="358" spans="7:7" ht="13" x14ac:dyDescent="0.15">
      <c r="G358" s="7"/>
    </row>
    <row r="359" spans="7:7" ht="13" x14ac:dyDescent="0.15">
      <c r="G359" s="7"/>
    </row>
    <row r="360" spans="7:7" ht="13" x14ac:dyDescent="0.15">
      <c r="G360" s="7"/>
    </row>
    <row r="361" spans="7:7" ht="13" x14ac:dyDescent="0.15">
      <c r="G361" s="7"/>
    </row>
    <row r="362" spans="7:7" ht="13" x14ac:dyDescent="0.15">
      <c r="G362" s="7"/>
    </row>
    <row r="363" spans="7:7" ht="13" x14ac:dyDescent="0.15">
      <c r="G363" s="7"/>
    </row>
    <row r="364" spans="7:7" ht="13" x14ac:dyDescent="0.15">
      <c r="G364" s="7"/>
    </row>
    <row r="365" spans="7:7" ht="13" x14ac:dyDescent="0.15">
      <c r="G365" s="7"/>
    </row>
    <row r="366" spans="7:7" ht="13" x14ac:dyDescent="0.15">
      <c r="G366" s="7"/>
    </row>
    <row r="367" spans="7:7" ht="13" x14ac:dyDescent="0.15">
      <c r="G367" s="7"/>
    </row>
    <row r="368" spans="7:7" ht="13" x14ac:dyDescent="0.15">
      <c r="G368" s="7"/>
    </row>
    <row r="369" spans="7:7" ht="13" x14ac:dyDescent="0.15">
      <c r="G369" s="7"/>
    </row>
    <row r="370" spans="7:7" ht="13" x14ac:dyDescent="0.15">
      <c r="G370" s="7"/>
    </row>
    <row r="371" spans="7:7" ht="13" x14ac:dyDescent="0.15">
      <c r="G371" s="7"/>
    </row>
    <row r="372" spans="7:7" ht="13" x14ac:dyDescent="0.15">
      <c r="G372" s="7"/>
    </row>
    <row r="373" spans="7:7" ht="13" x14ac:dyDescent="0.15">
      <c r="G373" s="7"/>
    </row>
    <row r="374" spans="7:7" ht="13" x14ac:dyDescent="0.15">
      <c r="G374" s="7"/>
    </row>
    <row r="375" spans="7:7" ht="13" x14ac:dyDescent="0.15">
      <c r="G375" s="7"/>
    </row>
    <row r="376" spans="7:7" ht="13" x14ac:dyDescent="0.15">
      <c r="G376" s="7"/>
    </row>
    <row r="377" spans="7:7" ht="13" x14ac:dyDescent="0.15">
      <c r="G377" s="7"/>
    </row>
    <row r="378" spans="7:7" ht="13" x14ac:dyDescent="0.15">
      <c r="G378" s="7"/>
    </row>
    <row r="379" spans="7:7" ht="13" x14ac:dyDescent="0.15">
      <c r="G379" s="7"/>
    </row>
    <row r="380" spans="7:7" ht="13" x14ac:dyDescent="0.15">
      <c r="G380" s="7"/>
    </row>
    <row r="381" spans="7:7" ht="13" x14ac:dyDescent="0.15">
      <c r="G381" s="7"/>
    </row>
    <row r="382" spans="7:7" ht="13" x14ac:dyDescent="0.15">
      <c r="G382" s="7"/>
    </row>
    <row r="383" spans="7:7" ht="13" x14ac:dyDescent="0.15">
      <c r="G383" s="7"/>
    </row>
    <row r="384" spans="7:7" ht="13" x14ac:dyDescent="0.15">
      <c r="G384" s="7"/>
    </row>
    <row r="385" spans="7:7" ht="13" x14ac:dyDescent="0.15">
      <c r="G385" s="7"/>
    </row>
    <row r="386" spans="7:7" ht="13" x14ac:dyDescent="0.15">
      <c r="G386" s="7"/>
    </row>
    <row r="387" spans="7:7" ht="13" x14ac:dyDescent="0.15">
      <c r="G387" s="7"/>
    </row>
    <row r="388" spans="7:7" ht="13" x14ac:dyDescent="0.15">
      <c r="G388" s="7"/>
    </row>
    <row r="389" spans="7:7" ht="13" x14ac:dyDescent="0.15">
      <c r="G389" s="7"/>
    </row>
    <row r="390" spans="7:7" ht="13" x14ac:dyDescent="0.15">
      <c r="G390" s="7"/>
    </row>
    <row r="391" spans="7:7" ht="13" x14ac:dyDescent="0.15">
      <c r="G391" s="7"/>
    </row>
    <row r="392" spans="7:7" ht="13" x14ac:dyDescent="0.15">
      <c r="G392" s="7"/>
    </row>
    <row r="393" spans="7:7" ht="13" x14ac:dyDescent="0.15">
      <c r="G393" s="7"/>
    </row>
    <row r="394" spans="7:7" ht="13" x14ac:dyDescent="0.15">
      <c r="G394" s="7"/>
    </row>
    <row r="395" spans="7:7" ht="13" x14ac:dyDescent="0.15">
      <c r="G395" s="7"/>
    </row>
    <row r="396" spans="7:7" ht="13" x14ac:dyDescent="0.15">
      <c r="G396" s="7"/>
    </row>
    <row r="397" spans="7:7" ht="13" x14ac:dyDescent="0.15">
      <c r="G397" s="7"/>
    </row>
    <row r="398" spans="7:7" ht="13" x14ac:dyDescent="0.15">
      <c r="G398" s="7"/>
    </row>
    <row r="399" spans="7:7" ht="13" x14ac:dyDescent="0.15">
      <c r="G399" s="7"/>
    </row>
    <row r="400" spans="7:7" ht="13" x14ac:dyDescent="0.15">
      <c r="G400" s="7"/>
    </row>
    <row r="401" spans="7:7" ht="13" x14ac:dyDescent="0.15">
      <c r="G401" s="7"/>
    </row>
    <row r="402" spans="7:7" ht="13" x14ac:dyDescent="0.15">
      <c r="G402" s="7"/>
    </row>
    <row r="403" spans="7:7" ht="13" x14ac:dyDescent="0.15">
      <c r="G403" s="7"/>
    </row>
    <row r="404" spans="7:7" ht="13" x14ac:dyDescent="0.15">
      <c r="G404" s="7"/>
    </row>
    <row r="405" spans="7:7" ht="13" x14ac:dyDescent="0.15">
      <c r="G405" s="7"/>
    </row>
    <row r="406" spans="7:7" ht="13" x14ac:dyDescent="0.15">
      <c r="G406" s="7"/>
    </row>
    <row r="407" spans="7:7" ht="13" x14ac:dyDescent="0.15">
      <c r="G407" s="7"/>
    </row>
    <row r="408" spans="7:7" ht="13" x14ac:dyDescent="0.15">
      <c r="G408" s="7"/>
    </row>
    <row r="409" spans="7:7" ht="13" x14ac:dyDescent="0.15">
      <c r="G409" s="7"/>
    </row>
    <row r="410" spans="7:7" ht="13" x14ac:dyDescent="0.15">
      <c r="G410" s="7"/>
    </row>
    <row r="411" spans="7:7" ht="13" x14ac:dyDescent="0.15">
      <c r="G411" s="7"/>
    </row>
    <row r="412" spans="7:7" ht="13" x14ac:dyDescent="0.15">
      <c r="G412" s="7"/>
    </row>
    <row r="413" spans="7:7" ht="13" x14ac:dyDescent="0.15">
      <c r="G413" s="7"/>
    </row>
    <row r="414" spans="7:7" ht="13" x14ac:dyDescent="0.15">
      <c r="G414" s="7"/>
    </row>
    <row r="415" spans="7:7" ht="13" x14ac:dyDescent="0.15">
      <c r="G415" s="7"/>
    </row>
    <row r="416" spans="7:7" ht="13" x14ac:dyDescent="0.15">
      <c r="G416" s="7"/>
    </row>
    <row r="417" spans="7:7" ht="13" x14ac:dyDescent="0.15">
      <c r="G417" s="7"/>
    </row>
    <row r="418" spans="7:7" ht="13" x14ac:dyDescent="0.15">
      <c r="G418" s="7"/>
    </row>
    <row r="419" spans="7:7" ht="13" x14ac:dyDescent="0.15">
      <c r="G419" s="7"/>
    </row>
    <row r="420" spans="7:7" ht="13" x14ac:dyDescent="0.15">
      <c r="G420" s="7"/>
    </row>
    <row r="421" spans="7:7" ht="13" x14ac:dyDescent="0.15">
      <c r="G421" s="7"/>
    </row>
    <row r="422" spans="7:7" ht="13" x14ac:dyDescent="0.15">
      <c r="G422" s="7"/>
    </row>
    <row r="423" spans="7:7" ht="13" x14ac:dyDescent="0.15">
      <c r="G423" s="7"/>
    </row>
    <row r="424" spans="7:7" ht="13" x14ac:dyDescent="0.15">
      <c r="G424" s="7"/>
    </row>
    <row r="425" spans="7:7" ht="13" x14ac:dyDescent="0.15">
      <c r="G425" s="7"/>
    </row>
    <row r="426" spans="7:7" ht="13" x14ac:dyDescent="0.15">
      <c r="G426" s="7"/>
    </row>
    <row r="427" spans="7:7" ht="13" x14ac:dyDescent="0.15">
      <c r="G427" s="7"/>
    </row>
    <row r="428" spans="7:7" ht="13" x14ac:dyDescent="0.15">
      <c r="G428" s="7"/>
    </row>
    <row r="429" spans="7:7" ht="13" x14ac:dyDescent="0.15">
      <c r="G429" s="7"/>
    </row>
    <row r="430" spans="7:7" ht="13" x14ac:dyDescent="0.15">
      <c r="G430" s="7"/>
    </row>
    <row r="431" spans="7:7" ht="13" x14ac:dyDescent="0.15">
      <c r="G431" s="7"/>
    </row>
    <row r="432" spans="7:7" ht="13" x14ac:dyDescent="0.15">
      <c r="G432" s="7"/>
    </row>
    <row r="433" spans="7:7" ht="13" x14ac:dyDescent="0.15">
      <c r="G433" s="7"/>
    </row>
    <row r="434" spans="7:7" ht="13" x14ac:dyDescent="0.15">
      <c r="G434" s="7"/>
    </row>
    <row r="435" spans="7:7" ht="13" x14ac:dyDescent="0.15">
      <c r="G435" s="7"/>
    </row>
    <row r="436" spans="7:7" ht="13" x14ac:dyDescent="0.15">
      <c r="G436" s="7"/>
    </row>
    <row r="437" spans="7:7" ht="13" x14ac:dyDescent="0.15">
      <c r="G437" s="7"/>
    </row>
    <row r="438" spans="7:7" ht="13" x14ac:dyDescent="0.15">
      <c r="G438" s="7"/>
    </row>
    <row r="439" spans="7:7" ht="13" x14ac:dyDescent="0.15">
      <c r="G439" s="7"/>
    </row>
    <row r="440" spans="7:7" ht="13" x14ac:dyDescent="0.15">
      <c r="G440" s="7"/>
    </row>
    <row r="441" spans="7:7" ht="13" x14ac:dyDescent="0.15">
      <c r="G441" s="7"/>
    </row>
    <row r="442" spans="7:7" ht="13" x14ac:dyDescent="0.15">
      <c r="G442" s="7"/>
    </row>
    <row r="443" spans="7:7" ht="13" x14ac:dyDescent="0.15">
      <c r="G443" s="7"/>
    </row>
    <row r="444" spans="7:7" ht="13" x14ac:dyDescent="0.15">
      <c r="G444" s="7"/>
    </row>
    <row r="445" spans="7:7" ht="13" x14ac:dyDescent="0.15">
      <c r="G445" s="7"/>
    </row>
    <row r="446" spans="7:7" ht="13" x14ac:dyDescent="0.15">
      <c r="G446" s="7"/>
    </row>
    <row r="447" spans="7:7" ht="13" x14ac:dyDescent="0.15">
      <c r="G447" s="7"/>
    </row>
    <row r="448" spans="7:7" ht="13" x14ac:dyDescent="0.15">
      <c r="G448" s="7"/>
    </row>
    <row r="449" spans="7:7" ht="13" x14ac:dyDescent="0.15">
      <c r="G449" s="7"/>
    </row>
    <row r="450" spans="7:7" ht="13" x14ac:dyDescent="0.15">
      <c r="G450" s="7"/>
    </row>
    <row r="451" spans="7:7" ht="13" x14ac:dyDescent="0.15">
      <c r="G451" s="7"/>
    </row>
    <row r="452" spans="7:7" ht="13" x14ac:dyDescent="0.15">
      <c r="G452" s="7"/>
    </row>
    <row r="453" spans="7:7" ht="13" x14ac:dyDescent="0.15">
      <c r="G453" s="7"/>
    </row>
    <row r="454" spans="7:7" ht="13" x14ac:dyDescent="0.15">
      <c r="G454" s="7"/>
    </row>
    <row r="455" spans="7:7" ht="13" x14ac:dyDescent="0.15">
      <c r="G455" s="7"/>
    </row>
    <row r="456" spans="7:7" ht="13" x14ac:dyDescent="0.15">
      <c r="G456" s="7"/>
    </row>
    <row r="457" spans="7:7" ht="13" x14ac:dyDescent="0.15">
      <c r="G457" s="7"/>
    </row>
    <row r="458" spans="7:7" ht="13" x14ac:dyDescent="0.15">
      <c r="G458" s="7"/>
    </row>
    <row r="459" spans="7:7" ht="13" x14ac:dyDescent="0.15">
      <c r="G459" s="7"/>
    </row>
    <row r="460" spans="7:7" ht="13" x14ac:dyDescent="0.15">
      <c r="G460" s="7"/>
    </row>
    <row r="461" spans="7:7" ht="13" x14ac:dyDescent="0.15">
      <c r="G461" s="7"/>
    </row>
    <row r="462" spans="7:7" ht="13" x14ac:dyDescent="0.15">
      <c r="G462" s="7"/>
    </row>
    <row r="463" spans="7:7" ht="13" x14ac:dyDescent="0.15">
      <c r="G463" s="7"/>
    </row>
    <row r="464" spans="7:7" ht="13" x14ac:dyDescent="0.15">
      <c r="G464" s="7"/>
    </row>
    <row r="465" spans="7:7" ht="13" x14ac:dyDescent="0.15">
      <c r="G465" s="7"/>
    </row>
    <row r="466" spans="7:7" ht="13" x14ac:dyDescent="0.15">
      <c r="G466" s="7"/>
    </row>
    <row r="467" spans="7:7" ht="13" x14ac:dyDescent="0.15">
      <c r="G467" s="7"/>
    </row>
    <row r="468" spans="7:7" ht="13" x14ac:dyDescent="0.15">
      <c r="G468" s="7"/>
    </row>
    <row r="469" spans="7:7" ht="13" x14ac:dyDescent="0.15">
      <c r="G469" s="7"/>
    </row>
    <row r="470" spans="7:7" ht="13" x14ac:dyDescent="0.15">
      <c r="G470" s="7"/>
    </row>
    <row r="471" spans="7:7" ht="13" x14ac:dyDescent="0.15">
      <c r="G471" s="7"/>
    </row>
    <row r="472" spans="7:7" ht="13" x14ac:dyDescent="0.15">
      <c r="G472" s="7"/>
    </row>
    <row r="473" spans="7:7" ht="13" x14ac:dyDescent="0.15">
      <c r="G473" s="7"/>
    </row>
    <row r="474" spans="7:7" ht="13" x14ac:dyDescent="0.15">
      <c r="G474" s="7"/>
    </row>
    <row r="475" spans="7:7" ht="13" x14ac:dyDescent="0.15">
      <c r="G475" s="7"/>
    </row>
    <row r="476" spans="7:7" ht="13" x14ac:dyDescent="0.15">
      <c r="G476" s="7"/>
    </row>
    <row r="477" spans="7:7" ht="13" x14ac:dyDescent="0.15">
      <c r="G477" s="7"/>
    </row>
    <row r="478" spans="7:7" ht="13" x14ac:dyDescent="0.15">
      <c r="G478" s="7"/>
    </row>
    <row r="479" spans="7:7" ht="13" x14ac:dyDescent="0.15">
      <c r="G479" s="7"/>
    </row>
    <row r="480" spans="7:7" ht="13" x14ac:dyDescent="0.15">
      <c r="G480" s="7"/>
    </row>
    <row r="481" spans="7:7" ht="13" x14ac:dyDescent="0.15">
      <c r="G481" s="7"/>
    </row>
    <row r="482" spans="7:7" ht="13" x14ac:dyDescent="0.15">
      <c r="G482" s="7"/>
    </row>
    <row r="483" spans="7:7" ht="13" x14ac:dyDescent="0.15">
      <c r="G483" s="7"/>
    </row>
    <row r="484" spans="7:7" ht="13" x14ac:dyDescent="0.15">
      <c r="G484" s="7"/>
    </row>
    <row r="485" spans="7:7" ht="13" x14ac:dyDescent="0.15">
      <c r="G485" s="7"/>
    </row>
    <row r="486" spans="7:7" ht="13" x14ac:dyDescent="0.15">
      <c r="G486" s="7"/>
    </row>
    <row r="487" spans="7:7" ht="13" x14ac:dyDescent="0.15">
      <c r="G487" s="7"/>
    </row>
    <row r="488" spans="7:7" ht="13" x14ac:dyDescent="0.15">
      <c r="G488" s="7"/>
    </row>
    <row r="489" spans="7:7" ht="13" x14ac:dyDescent="0.15">
      <c r="G489" s="7"/>
    </row>
    <row r="490" spans="7:7" ht="13" x14ac:dyDescent="0.15">
      <c r="G490" s="7"/>
    </row>
    <row r="491" spans="7:7" ht="13" x14ac:dyDescent="0.15">
      <c r="G491" s="7"/>
    </row>
    <row r="492" spans="7:7" ht="13" x14ac:dyDescent="0.15">
      <c r="G492" s="7"/>
    </row>
    <row r="493" spans="7:7" ht="13" x14ac:dyDescent="0.15">
      <c r="G493" s="7"/>
    </row>
    <row r="494" spans="7:7" ht="13" x14ac:dyDescent="0.15">
      <c r="G494" s="7"/>
    </row>
    <row r="495" spans="7:7" ht="13" x14ac:dyDescent="0.15">
      <c r="G495" s="7"/>
    </row>
    <row r="496" spans="7:7" ht="13" x14ac:dyDescent="0.15">
      <c r="G496" s="7"/>
    </row>
    <row r="497" spans="7:7" ht="13" x14ac:dyDescent="0.15">
      <c r="G497" s="7"/>
    </row>
    <row r="498" spans="7:7" ht="13" x14ac:dyDescent="0.15">
      <c r="G498" s="7"/>
    </row>
    <row r="499" spans="7:7" ht="13" x14ac:dyDescent="0.15">
      <c r="G499" s="7"/>
    </row>
    <row r="500" spans="7:7" ht="13" x14ac:dyDescent="0.15">
      <c r="G500" s="7"/>
    </row>
    <row r="501" spans="7:7" ht="13" x14ac:dyDescent="0.15">
      <c r="G501" s="7"/>
    </row>
    <row r="502" spans="7:7" ht="13" x14ac:dyDescent="0.15">
      <c r="G502" s="7"/>
    </row>
    <row r="503" spans="7:7" ht="13" x14ac:dyDescent="0.15">
      <c r="G503" s="7"/>
    </row>
    <row r="504" spans="7:7" ht="13" x14ac:dyDescent="0.15">
      <c r="G504" s="7"/>
    </row>
    <row r="505" spans="7:7" ht="13" x14ac:dyDescent="0.15">
      <c r="G505" s="7"/>
    </row>
    <row r="506" spans="7:7" ht="13" x14ac:dyDescent="0.15">
      <c r="G506" s="7"/>
    </row>
    <row r="507" spans="7:7" ht="13" x14ac:dyDescent="0.15">
      <c r="G507" s="7"/>
    </row>
    <row r="508" spans="7:7" ht="13" x14ac:dyDescent="0.15">
      <c r="G508" s="7"/>
    </row>
    <row r="509" spans="7:7" ht="13" x14ac:dyDescent="0.15">
      <c r="G509" s="7"/>
    </row>
    <row r="510" spans="7:7" ht="13" x14ac:dyDescent="0.15">
      <c r="G510" s="7"/>
    </row>
    <row r="511" spans="7:7" ht="13" x14ac:dyDescent="0.15">
      <c r="G511" s="7"/>
    </row>
    <row r="512" spans="7:7" ht="13" x14ac:dyDescent="0.15">
      <c r="G512" s="7"/>
    </row>
    <row r="513" spans="7:7" ht="13" x14ac:dyDescent="0.15">
      <c r="G513" s="7"/>
    </row>
    <row r="514" spans="7:7" ht="13" x14ac:dyDescent="0.15">
      <c r="G514" s="7"/>
    </row>
    <row r="515" spans="7:7" ht="13" x14ac:dyDescent="0.15">
      <c r="G515" s="7"/>
    </row>
    <row r="516" spans="7:7" ht="13" x14ac:dyDescent="0.15">
      <c r="G516" s="7"/>
    </row>
    <row r="517" spans="7:7" ht="13" x14ac:dyDescent="0.15">
      <c r="G517" s="7"/>
    </row>
    <row r="518" spans="7:7" ht="13" x14ac:dyDescent="0.15">
      <c r="G518" s="7"/>
    </row>
    <row r="519" spans="7:7" ht="13" x14ac:dyDescent="0.15">
      <c r="G519" s="7"/>
    </row>
    <row r="520" spans="7:7" ht="13" x14ac:dyDescent="0.15">
      <c r="G520" s="7"/>
    </row>
    <row r="521" spans="7:7" ht="13" x14ac:dyDescent="0.15">
      <c r="G521" s="7"/>
    </row>
    <row r="522" spans="7:7" ht="13" x14ac:dyDescent="0.15">
      <c r="G522" s="7"/>
    </row>
    <row r="523" spans="7:7" ht="13" x14ac:dyDescent="0.15">
      <c r="G523" s="7"/>
    </row>
    <row r="524" spans="7:7" ht="13" x14ac:dyDescent="0.15">
      <c r="G524" s="7"/>
    </row>
    <row r="525" spans="7:7" ht="13" x14ac:dyDescent="0.15">
      <c r="G525" s="7"/>
    </row>
    <row r="526" spans="7:7" ht="13" x14ac:dyDescent="0.15">
      <c r="G526" s="7"/>
    </row>
    <row r="527" spans="7:7" ht="13" x14ac:dyDescent="0.15">
      <c r="G527" s="7"/>
    </row>
    <row r="528" spans="7:7" ht="13" x14ac:dyDescent="0.15">
      <c r="G528" s="7"/>
    </row>
    <row r="529" spans="7:7" ht="13" x14ac:dyDescent="0.15">
      <c r="G529" s="7"/>
    </row>
    <row r="530" spans="7:7" ht="13" x14ac:dyDescent="0.15">
      <c r="G530" s="7"/>
    </row>
    <row r="531" spans="7:7" ht="13" x14ac:dyDescent="0.15">
      <c r="G531" s="7"/>
    </row>
    <row r="532" spans="7:7" ht="13" x14ac:dyDescent="0.15">
      <c r="G532" s="7"/>
    </row>
    <row r="533" spans="7:7" ht="13" x14ac:dyDescent="0.15">
      <c r="G533" s="7"/>
    </row>
    <row r="534" spans="7:7" ht="13" x14ac:dyDescent="0.15">
      <c r="G534" s="7"/>
    </row>
    <row r="535" spans="7:7" ht="13" x14ac:dyDescent="0.15">
      <c r="G535" s="7"/>
    </row>
    <row r="536" spans="7:7" ht="13" x14ac:dyDescent="0.15">
      <c r="G536" s="7"/>
    </row>
    <row r="537" spans="7:7" ht="13" x14ac:dyDescent="0.15">
      <c r="G537" s="7"/>
    </row>
    <row r="538" spans="7:7" ht="13" x14ac:dyDescent="0.15">
      <c r="G538" s="7"/>
    </row>
    <row r="539" spans="7:7" ht="13" x14ac:dyDescent="0.15">
      <c r="G539" s="7"/>
    </row>
    <row r="540" spans="7:7" ht="13" x14ac:dyDescent="0.15">
      <c r="G540" s="7"/>
    </row>
    <row r="541" spans="7:7" ht="13" x14ac:dyDescent="0.15">
      <c r="G541" s="7"/>
    </row>
    <row r="542" spans="7:7" ht="13" x14ac:dyDescent="0.15">
      <c r="G542" s="7"/>
    </row>
    <row r="543" spans="7:7" ht="13" x14ac:dyDescent="0.15">
      <c r="G543" s="7"/>
    </row>
    <row r="544" spans="7:7" ht="13" x14ac:dyDescent="0.15">
      <c r="G544" s="7"/>
    </row>
    <row r="545" spans="7:7" ht="13" x14ac:dyDescent="0.15">
      <c r="G545" s="7"/>
    </row>
    <row r="546" spans="7:7" ht="13" x14ac:dyDescent="0.15">
      <c r="G546" s="7"/>
    </row>
    <row r="547" spans="7:7" ht="13" x14ac:dyDescent="0.15">
      <c r="G547" s="7"/>
    </row>
    <row r="548" spans="7:7" ht="13" x14ac:dyDescent="0.15">
      <c r="G548" s="7"/>
    </row>
    <row r="549" spans="7:7" ht="13" x14ac:dyDescent="0.15">
      <c r="G549" s="7"/>
    </row>
    <row r="550" spans="7:7" ht="13" x14ac:dyDescent="0.15">
      <c r="G550" s="7"/>
    </row>
    <row r="551" spans="7:7" ht="13" x14ac:dyDescent="0.15">
      <c r="G551" s="7"/>
    </row>
    <row r="552" spans="7:7" ht="13" x14ac:dyDescent="0.15">
      <c r="G552" s="7"/>
    </row>
    <row r="553" spans="7:7" ht="13" x14ac:dyDescent="0.15">
      <c r="G553" s="7"/>
    </row>
    <row r="554" spans="7:7" ht="13" x14ac:dyDescent="0.15">
      <c r="G554" s="7"/>
    </row>
    <row r="555" spans="7:7" ht="13" x14ac:dyDescent="0.15">
      <c r="G555" s="7"/>
    </row>
    <row r="556" spans="7:7" ht="13" x14ac:dyDescent="0.15">
      <c r="G556" s="7"/>
    </row>
    <row r="557" spans="7:7" ht="13" x14ac:dyDescent="0.15">
      <c r="G557" s="7"/>
    </row>
    <row r="558" spans="7:7" ht="13" x14ac:dyDescent="0.15">
      <c r="G558" s="7"/>
    </row>
    <row r="559" spans="7:7" ht="13" x14ac:dyDescent="0.15">
      <c r="G559" s="7"/>
    </row>
    <row r="560" spans="7:7" ht="13" x14ac:dyDescent="0.15">
      <c r="G560" s="7"/>
    </row>
    <row r="561" spans="7:7" ht="13" x14ac:dyDescent="0.15">
      <c r="G561" s="7"/>
    </row>
    <row r="562" spans="7:7" ht="13" x14ac:dyDescent="0.15">
      <c r="G562" s="7"/>
    </row>
    <row r="563" spans="7:7" ht="13" x14ac:dyDescent="0.15">
      <c r="G563" s="7"/>
    </row>
    <row r="564" spans="7:7" ht="13" x14ac:dyDescent="0.15">
      <c r="G564" s="7"/>
    </row>
    <row r="565" spans="7:7" ht="13" x14ac:dyDescent="0.15">
      <c r="G565" s="7"/>
    </row>
    <row r="566" spans="7:7" ht="13" x14ac:dyDescent="0.15">
      <c r="G566" s="7"/>
    </row>
    <row r="567" spans="7:7" ht="13" x14ac:dyDescent="0.15">
      <c r="G567" s="7"/>
    </row>
    <row r="568" spans="7:7" ht="13" x14ac:dyDescent="0.15">
      <c r="G568" s="7"/>
    </row>
    <row r="569" spans="7:7" ht="13" x14ac:dyDescent="0.15">
      <c r="G569" s="7"/>
    </row>
    <row r="570" spans="7:7" ht="13" x14ac:dyDescent="0.15">
      <c r="G570" s="7"/>
    </row>
    <row r="571" spans="7:7" ht="13" x14ac:dyDescent="0.15">
      <c r="G571" s="7"/>
    </row>
    <row r="572" spans="7:7" ht="13" x14ac:dyDescent="0.15">
      <c r="G572" s="7"/>
    </row>
    <row r="573" spans="7:7" ht="13" x14ac:dyDescent="0.15">
      <c r="G573" s="7"/>
    </row>
    <row r="574" spans="7:7" ht="13" x14ac:dyDescent="0.15">
      <c r="G574" s="7"/>
    </row>
    <row r="575" spans="7:7" ht="13" x14ac:dyDescent="0.15">
      <c r="G575" s="7"/>
    </row>
    <row r="576" spans="7:7" ht="13" x14ac:dyDescent="0.15">
      <c r="G576" s="7"/>
    </row>
    <row r="577" spans="7:7" ht="13" x14ac:dyDescent="0.15">
      <c r="G577" s="7"/>
    </row>
    <row r="578" spans="7:7" ht="13" x14ac:dyDescent="0.15">
      <c r="G578" s="7"/>
    </row>
    <row r="579" spans="7:7" ht="13" x14ac:dyDescent="0.15">
      <c r="G579" s="7"/>
    </row>
    <row r="580" spans="7:7" ht="13" x14ac:dyDescent="0.15">
      <c r="G580" s="7"/>
    </row>
    <row r="581" spans="7:7" ht="13" x14ac:dyDescent="0.15">
      <c r="G581" s="7"/>
    </row>
    <row r="582" spans="7:7" ht="13" x14ac:dyDescent="0.15">
      <c r="G582" s="7"/>
    </row>
    <row r="583" spans="7:7" ht="13" x14ac:dyDescent="0.15">
      <c r="G583" s="7"/>
    </row>
    <row r="584" spans="7:7" ht="13" x14ac:dyDescent="0.15">
      <c r="G584" s="7"/>
    </row>
    <row r="585" spans="7:7" ht="13" x14ac:dyDescent="0.15">
      <c r="G585" s="7"/>
    </row>
    <row r="586" spans="7:7" ht="13" x14ac:dyDescent="0.15">
      <c r="G586" s="7"/>
    </row>
    <row r="587" spans="7:7" ht="13" x14ac:dyDescent="0.15">
      <c r="G587" s="7"/>
    </row>
    <row r="588" spans="7:7" ht="13" x14ac:dyDescent="0.15">
      <c r="G588" s="7"/>
    </row>
    <row r="589" spans="7:7" ht="13" x14ac:dyDescent="0.15">
      <c r="G589" s="7"/>
    </row>
    <row r="590" spans="7:7" ht="13" x14ac:dyDescent="0.15">
      <c r="G590" s="7"/>
    </row>
    <row r="591" spans="7:7" ht="13" x14ac:dyDescent="0.15">
      <c r="G591" s="7"/>
    </row>
    <row r="592" spans="7:7" ht="13" x14ac:dyDescent="0.15">
      <c r="G592" s="7"/>
    </row>
    <row r="593" spans="7:7" ht="13" x14ac:dyDescent="0.15">
      <c r="G593" s="7"/>
    </row>
    <row r="594" spans="7:7" ht="13" x14ac:dyDescent="0.15">
      <c r="G594" s="7"/>
    </row>
    <row r="595" spans="7:7" ht="13" x14ac:dyDescent="0.15">
      <c r="G595" s="7"/>
    </row>
    <row r="596" spans="7:7" ht="13" x14ac:dyDescent="0.15">
      <c r="G596" s="7"/>
    </row>
    <row r="597" spans="7:7" ht="13" x14ac:dyDescent="0.15">
      <c r="G597" s="7"/>
    </row>
    <row r="598" spans="7:7" ht="13" x14ac:dyDescent="0.15">
      <c r="G598" s="7"/>
    </row>
    <row r="599" spans="7:7" ht="13" x14ac:dyDescent="0.15">
      <c r="G599" s="7"/>
    </row>
    <row r="600" spans="7:7" ht="13" x14ac:dyDescent="0.15">
      <c r="G600" s="7"/>
    </row>
    <row r="601" spans="7:7" ht="13" x14ac:dyDescent="0.15">
      <c r="G601" s="7"/>
    </row>
    <row r="602" spans="7:7" ht="13" x14ac:dyDescent="0.15">
      <c r="G602" s="7"/>
    </row>
    <row r="603" spans="7:7" ht="13" x14ac:dyDescent="0.15">
      <c r="G603" s="7"/>
    </row>
    <row r="604" spans="7:7" ht="13" x14ac:dyDescent="0.15">
      <c r="G604" s="7"/>
    </row>
    <row r="605" spans="7:7" ht="13" x14ac:dyDescent="0.15">
      <c r="G605" s="7"/>
    </row>
    <row r="606" spans="7:7" ht="13" x14ac:dyDescent="0.15">
      <c r="G606" s="7"/>
    </row>
    <row r="607" spans="7:7" ht="13" x14ac:dyDescent="0.15">
      <c r="G607" s="7"/>
    </row>
    <row r="608" spans="7:7" ht="13" x14ac:dyDescent="0.15">
      <c r="G608" s="7"/>
    </row>
    <row r="609" spans="7:7" ht="13" x14ac:dyDescent="0.15">
      <c r="G609" s="7"/>
    </row>
    <row r="610" spans="7:7" ht="13" x14ac:dyDescent="0.15">
      <c r="G610" s="7"/>
    </row>
    <row r="611" spans="7:7" ht="13" x14ac:dyDescent="0.15">
      <c r="G611" s="7"/>
    </row>
    <row r="612" spans="7:7" ht="13" x14ac:dyDescent="0.15">
      <c r="G612" s="7"/>
    </row>
    <row r="613" spans="7:7" ht="13" x14ac:dyDescent="0.15">
      <c r="G613" s="7"/>
    </row>
    <row r="614" spans="7:7" ht="13" x14ac:dyDescent="0.15">
      <c r="G614" s="7"/>
    </row>
    <row r="615" spans="7:7" ht="13" x14ac:dyDescent="0.15">
      <c r="G615" s="7"/>
    </row>
    <row r="616" spans="7:7" ht="13" x14ac:dyDescent="0.15">
      <c r="G616" s="7"/>
    </row>
    <row r="617" spans="7:7" ht="13" x14ac:dyDescent="0.15">
      <c r="G617" s="7"/>
    </row>
    <row r="618" spans="7:7" ht="13" x14ac:dyDescent="0.15">
      <c r="G618" s="7"/>
    </row>
    <row r="619" spans="7:7" ht="13" x14ac:dyDescent="0.15">
      <c r="G619" s="7"/>
    </row>
    <row r="620" spans="7:7" ht="13" x14ac:dyDescent="0.15">
      <c r="G620" s="7"/>
    </row>
    <row r="621" spans="7:7" ht="13" x14ac:dyDescent="0.15">
      <c r="G621" s="7"/>
    </row>
    <row r="622" spans="7:7" ht="13" x14ac:dyDescent="0.15">
      <c r="G622" s="7"/>
    </row>
    <row r="623" spans="7:7" ht="13" x14ac:dyDescent="0.15">
      <c r="G623" s="7"/>
    </row>
    <row r="624" spans="7:7" ht="13" x14ac:dyDescent="0.15">
      <c r="G624" s="7"/>
    </row>
    <row r="625" spans="7:7" ht="13" x14ac:dyDescent="0.15">
      <c r="G625" s="7"/>
    </row>
    <row r="626" spans="7:7" ht="13" x14ac:dyDescent="0.15">
      <c r="G626" s="7"/>
    </row>
    <row r="627" spans="7:7" ht="13" x14ac:dyDescent="0.15">
      <c r="G627" s="7"/>
    </row>
    <row r="628" spans="7:7" ht="13" x14ac:dyDescent="0.15">
      <c r="G628" s="7"/>
    </row>
    <row r="629" spans="7:7" ht="13" x14ac:dyDescent="0.15">
      <c r="G629" s="7"/>
    </row>
    <row r="630" spans="7:7" ht="13" x14ac:dyDescent="0.15">
      <c r="G630" s="7"/>
    </row>
    <row r="631" spans="7:7" ht="13" x14ac:dyDescent="0.15">
      <c r="G631" s="7"/>
    </row>
    <row r="632" spans="7:7" ht="13" x14ac:dyDescent="0.15">
      <c r="G632" s="7"/>
    </row>
    <row r="633" spans="7:7" ht="13" x14ac:dyDescent="0.15">
      <c r="G633" s="7"/>
    </row>
    <row r="634" spans="7:7" ht="13" x14ac:dyDescent="0.15">
      <c r="G634" s="7"/>
    </row>
    <row r="635" spans="7:7" ht="13" x14ac:dyDescent="0.15">
      <c r="G635" s="7"/>
    </row>
    <row r="636" spans="7:7" ht="13" x14ac:dyDescent="0.15">
      <c r="G636" s="7"/>
    </row>
    <row r="637" spans="7:7" ht="13" x14ac:dyDescent="0.15">
      <c r="G637" s="7"/>
    </row>
    <row r="638" spans="7:7" ht="13" x14ac:dyDescent="0.15">
      <c r="G638" s="7"/>
    </row>
    <row r="639" spans="7:7" ht="13" x14ac:dyDescent="0.15">
      <c r="G639" s="7"/>
    </row>
    <row r="640" spans="7:7" ht="13" x14ac:dyDescent="0.15">
      <c r="G640" s="7"/>
    </row>
    <row r="641" spans="7:7" ht="13" x14ac:dyDescent="0.15">
      <c r="G641" s="7"/>
    </row>
    <row r="642" spans="7:7" ht="13" x14ac:dyDescent="0.15">
      <c r="G642" s="7"/>
    </row>
    <row r="643" spans="7:7" ht="13" x14ac:dyDescent="0.15">
      <c r="G643" s="7"/>
    </row>
    <row r="644" spans="7:7" ht="13" x14ac:dyDescent="0.15">
      <c r="G644" s="7"/>
    </row>
    <row r="645" spans="7:7" ht="13" x14ac:dyDescent="0.15">
      <c r="G645" s="7"/>
    </row>
    <row r="646" spans="7:7" ht="13" x14ac:dyDescent="0.15">
      <c r="G646" s="7"/>
    </row>
    <row r="647" spans="7:7" ht="13" x14ac:dyDescent="0.15">
      <c r="G647" s="7"/>
    </row>
    <row r="648" spans="7:7" ht="13" x14ac:dyDescent="0.15">
      <c r="G648" s="7"/>
    </row>
    <row r="649" spans="7:7" ht="13" x14ac:dyDescent="0.15">
      <c r="G649" s="7"/>
    </row>
    <row r="650" spans="7:7" ht="13" x14ac:dyDescent="0.15">
      <c r="G650" s="7"/>
    </row>
    <row r="651" spans="7:7" ht="13" x14ac:dyDescent="0.15">
      <c r="G651" s="7"/>
    </row>
    <row r="652" spans="7:7" ht="13" x14ac:dyDescent="0.15">
      <c r="G652" s="7"/>
    </row>
    <row r="653" spans="7:7" ht="13" x14ac:dyDescent="0.15">
      <c r="G653" s="7"/>
    </row>
    <row r="654" spans="7:7" ht="13" x14ac:dyDescent="0.15">
      <c r="G654" s="7"/>
    </row>
    <row r="655" spans="7:7" ht="13" x14ac:dyDescent="0.15">
      <c r="G655" s="7"/>
    </row>
    <row r="656" spans="7:7" ht="13" x14ac:dyDescent="0.15">
      <c r="G656" s="7"/>
    </row>
    <row r="657" spans="7:7" ht="13" x14ac:dyDescent="0.15">
      <c r="G657" s="7"/>
    </row>
    <row r="658" spans="7:7" ht="13" x14ac:dyDescent="0.15">
      <c r="G658" s="7"/>
    </row>
    <row r="659" spans="7:7" ht="13" x14ac:dyDescent="0.15">
      <c r="G659" s="7"/>
    </row>
    <row r="660" spans="7:7" ht="13" x14ac:dyDescent="0.15">
      <c r="G660" s="7"/>
    </row>
    <row r="661" spans="7:7" ht="13" x14ac:dyDescent="0.15">
      <c r="G661" s="7"/>
    </row>
    <row r="662" spans="7:7" ht="13" x14ac:dyDescent="0.15">
      <c r="G662" s="7"/>
    </row>
    <row r="663" spans="7:7" ht="13" x14ac:dyDescent="0.15">
      <c r="G663" s="7"/>
    </row>
    <row r="664" spans="7:7" ht="13" x14ac:dyDescent="0.15">
      <c r="G664" s="7"/>
    </row>
    <row r="665" spans="7:7" ht="13" x14ac:dyDescent="0.15">
      <c r="G665" s="7"/>
    </row>
    <row r="666" spans="7:7" ht="13" x14ac:dyDescent="0.15">
      <c r="G666" s="7"/>
    </row>
    <row r="667" spans="7:7" ht="13" x14ac:dyDescent="0.15">
      <c r="G667" s="7"/>
    </row>
    <row r="668" spans="7:7" ht="13" x14ac:dyDescent="0.15">
      <c r="G668" s="7"/>
    </row>
    <row r="669" spans="7:7" ht="13" x14ac:dyDescent="0.15">
      <c r="G669" s="7"/>
    </row>
    <row r="670" spans="7:7" ht="13" x14ac:dyDescent="0.15">
      <c r="G670" s="7"/>
    </row>
    <row r="671" spans="7:7" ht="13" x14ac:dyDescent="0.15">
      <c r="G671" s="7"/>
    </row>
    <row r="672" spans="7:7" ht="13" x14ac:dyDescent="0.15">
      <c r="G672" s="7"/>
    </row>
    <row r="673" spans="7:7" ht="13" x14ac:dyDescent="0.15">
      <c r="G673" s="7"/>
    </row>
    <row r="674" spans="7:7" ht="13" x14ac:dyDescent="0.15">
      <c r="G674" s="7"/>
    </row>
    <row r="675" spans="7:7" ht="13" x14ac:dyDescent="0.15">
      <c r="G675" s="7"/>
    </row>
    <row r="676" spans="7:7" ht="13" x14ac:dyDescent="0.15">
      <c r="G676" s="7"/>
    </row>
    <row r="677" spans="7:7" ht="13" x14ac:dyDescent="0.15">
      <c r="G677" s="7"/>
    </row>
    <row r="678" spans="7:7" ht="13" x14ac:dyDescent="0.15">
      <c r="G678" s="7"/>
    </row>
    <row r="679" spans="7:7" ht="13" x14ac:dyDescent="0.15">
      <c r="G679" s="7"/>
    </row>
    <row r="680" spans="7:7" ht="13" x14ac:dyDescent="0.15">
      <c r="G680" s="7"/>
    </row>
    <row r="681" spans="7:7" ht="13" x14ac:dyDescent="0.15">
      <c r="G681" s="7"/>
    </row>
    <row r="682" spans="7:7" ht="13" x14ac:dyDescent="0.15">
      <c r="G682" s="7"/>
    </row>
    <row r="683" spans="7:7" ht="13" x14ac:dyDescent="0.15">
      <c r="G683" s="7"/>
    </row>
    <row r="684" spans="7:7" ht="13" x14ac:dyDescent="0.15">
      <c r="G684" s="7"/>
    </row>
    <row r="685" spans="7:7" ht="13" x14ac:dyDescent="0.15">
      <c r="G685" s="7"/>
    </row>
    <row r="686" spans="7:7" ht="13" x14ac:dyDescent="0.15">
      <c r="G686" s="7"/>
    </row>
    <row r="687" spans="7:7" ht="13" x14ac:dyDescent="0.15">
      <c r="G687" s="7"/>
    </row>
    <row r="688" spans="7:7" ht="13" x14ac:dyDescent="0.15">
      <c r="G688" s="7"/>
    </row>
    <row r="689" spans="7:7" ht="13" x14ac:dyDescent="0.15">
      <c r="G689" s="7"/>
    </row>
    <row r="690" spans="7:7" ht="13" x14ac:dyDescent="0.15">
      <c r="G690" s="7"/>
    </row>
    <row r="691" spans="7:7" ht="13" x14ac:dyDescent="0.15">
      <c r="G691" s="7"/>
    </row>
    <row r="692" spans="7:7" ht="13" x14ac:dyDescent="0.15">
      <c r="G692" s="7"/>
    </row>
    <row r="693" spans="7:7" ht="13" x14ac:dyDescent="0.15">
      <c r="G693" s="7"/>
    </row>
    <row r="694" spans="7:7" ht="13" x14ac:dyDescent="0.15">
      <c r="G694" s="7"/>
    </row>
    <row r="695" spans="7:7" ht="13" x14ac:dyDescent="0.15">
      <c r="G695" s="7"/>
    </row>
    <row r="696" spans="7:7" ht="13" x14ac:dyDescent="0.15">
      <c r="G696" s="7"/>
    </row>
    <row r="697" spans="7:7" ht="13" x14ac:dyDescent="0.15">
      <c r="G697" s="7"/>
    </row>
    <row r="698" spans="7:7" ht="13" x14ac:dyDescent="0.15">
      <c r="G698" s="7"/>
    </row>
    <row r="699" spans="7:7" ht="13" x14ac:dyDescent="0.15">
      <c r="G699" s="7"/>
    </row>
    <row r="700" spans="7:7" ht="13" x14ac:dyDescent="0.15">
      <c r="G700" s="7"/>
    </row>
    <row r="701" spans="7:7" ht="13" x14ac:dyDescent="0.15">
      <c r="G701" s="7"/>
    </row>
    <row r="702" spans="7:7" ht="13" x14ac:dyDescent="0.15">
      <c r="G702" s="7"/>
    </row>
    <row r="703" spans="7:7" ht="13" x14ac:dyDescent="0.15">
      <c r="G703" s="7"/>
    </row>
    <row r="704" spans="7:7" ht="13" x14ac:dyDescent="0.15">
      <c r="G704" s="7"/>
    </row>
    <row r="705" spans="7:7" ht="13" x14ac:dyDescent="0.15">
      <c r="G705" s="7"/>
    </row>
    <row r="706" spans="7:7" ht="13" x14ac:dyDescent="0.15">
      <c r="G706" s="7"/>
    </row>
    <row r="707" spans="7:7" ht="13" x14ac:dyDescent="0.15">
      <c r="G707" s="7"/>
    </row>
    <row r="708" spans="7:7" ht="13" x14ac:dyDescent="0.15">
      <c r="G708" s="7"/>
    </row>
    <row r="709" spans="7:7" ht="13" x14ac:dyDescent="0.15">
      <c r="G709" s="7"/>
    </row>
    <row r="710" spans="7:7" ht="13" x14ac:dyDescent="0.15">
      <c r="G710" s="7"/>
    </row>
    <row r="711" spans="7:7" ht="13" x14ac:dyDescent="0.15">
      <c r="G711" s="7"/>
    </row>
    <row r="712" spans="7:7" ht="13" x14ac:dyDescent="0.15">
      <c r="G712" s="7"/>
    </row>
    <row r="713" spans="7:7" ht="13" x14ac:dyDescent="0.15">
      <c r="G713" s="7"/>
    </row>
    <row r="714" spans="7:7" ht="13" x14ac:dyDescent="0.15">
      <c r="G714" s="7"/>
    </row>
    <row r="715" spans="7:7" ht="13" x14ac:dyDescent="0.15">
      <c r="G715" s="7"/>
    </row>
    <row r="716" spans="7:7" ht="13" x14ac:dyDescent="0.15">
      <c r="G716" s="7"/>
    </row>
    <row r="717" spans="7:7" ht="13" x14ac:dyDescent="0.15">
      <c r="G717" s="7"/>
    </row>
    <row r="718" spans="7:7" ht="13" x14ac:dyDescent="0.15">
      <c r="G718" s="7"/>
    </row>
    <row r="719" spans="7:7" ht="13" x14ac:dyDescent="0.15">
      <c r="G719" s="7"/>
    </row>
    <row r="720" spans="7:7" ht="13" x14ac:dyDescent="0.15">
      <c r="G720" s="7"/>
    </row>
    <row r="721" spans="7:7" ht="13" x14ac:dyDescent="0.15">
      <c r="G721" s="7"/>
    </row>
    <row r="722" spans="7:7" ht="13" x14ac:dyDescent="0.15">
      <c r="G722" s="7"/>
    </row>
    <row r="723" spans="7:7" ht="13" x14ac:dyDescent="0.15">
      <c r="G723" s="7"/>
    </row>
    <row r="724" spans="7:7" ht="13" x14ac:dyDescent="0.15">
      <c r="G724" s="7"/>
    </row>
    <row r="725" spans="7:7" ht="13" x14ac:dyDescent="0.15">
      <c r="G725" s="7"/>
    </row>
    <row r="726" spans="7:7" ht="13" x14ac:dyDescent="0.15">
      <c r="G726" s="7"/>
    </row>
    <row r="727" spans="7:7" ht="13" x14ac:dyDescent="0.15">
      <c r="G727" s="7"/>
    </row>
    <row r="728" spans="7:7" ht="13" x14ac:dyDescent="0.15">
      <c r="G728" s="7"/>
    </row>
    <row r="729" spans="7:7" ht="13" x14ac:dyDescent="0.15">
      <c r="G729" s="7"/>
    </row>
    <row r="730" spans="7:7" ht="13" x14ac:dyDescent="0.15">
      <c r="G730" s="7"/>
    </row>
    <row r="731" spans="7:7" ht="13" x14ac:dyDescent="0.15">
      <c r="G731" s="7"/>
    </row>
    <row r="732" spans="7:7" ht="13" x14ac:dyDescent="0.15">
      <c r="G732" s="7"/>
    </row>
    <row r="733" spans="7:7" ht="13" x14ac:dyDescent="0.15">
      <c r="G733" s="7"/>
    </row>
    <row r="734" spans="7:7" ht="13" x14ac:dyDescent="0.15">
      <c r="G734" s="7"/>
    </row>
    <row r="735" spans="7:7" ht="13" x14ac:dyDescent="0.15">
      <c r="G735" s="7"/>
    </row>
    <row r="736" spans="7:7" ht="13" x14ac:dyDescent="0.15">
      <c r="G736" s="7"/>
    </row>
    <row r="737" spans="7:7" ht="13" x14ac:dyDescent="0.15">
      <c r="G737" s="7"/>
    </row>
    <row r="738" spans="7:7" ht="13" x14ac:dyDescent="0.15">
      <c r="G738" s="7"/>
    </row>
    <row r="739" spans="7:7" ht="13" x14ac:dyDescent="0.15">
      <c r="G739" s="7"/>
    </row>
    <row r="740" spans="7:7" ht="13" x14ac:dyDescent="0.15">
      <c r="G740" s="7"/>
    </row>
    <row r="741" spans="7:7" ht="13" x14ac:dyDescent="0.15">
      <c r="G741" s="7"/>
    </row>
    <row r="742" spans="7:7" ht="13" x14ac:dyDescent="0.15">
      <c r="G742" s="7"/>
    </row>
    <row r="743" spans="7:7" ht="13" x14ac:dyDescent="0.15">
      <c r="G743" s="7"/>
    </row>
    <row r="744" spans="7:7" ht="13" x14ac:dyDescent="0.15">
      <c r="G744" s="7"/>
    </row>
    <row r="745" spans="7:7" ht="13" x14ac:dyDescent="0.15">
      <c r="G745" s="7"/>
    </row>
    <row r="746" spans="7:7" ht="13" x14ac:dyDescent="0.15">
      <c r="G746" s="7"/>
    </row>
    <row r="747" spans="7:7" ht="13" x14ac:dyDescent="0.15">
      <c r="G747" s="7"/>
    </row>
    <row r="748" spans="7:7" ht="13" x14ac:dyDescent="0.15">
      <c r="G748" s="7"/>
    </row>
    <row r="749" spans="7:7" ht="13" x14ac:dyDescent="0.15">
      <c r="G749" s="7"/>
    </row>
    <row r="750" spans="7:7" ht="13" x14ac:dyDescent="0.15">
      <c r="G750" s="7"/>
    </row>
    <row r="751" spans="7:7" ht="13" x14ac:dyDescent="0.15">
      <c r="G751" s="7"/>
    </row>
    <row r="752" spans="7:7" ht="13" x14ac:dyDescent="0.15">
      <c r="G752" s="7"/>
    </row>
    <row r="753" spans="7:7" ht="13" x14ac:dyDescent="0.15">
      <c r="G753" s="7"/>
    </row>
    <row r="754" spans="7:7" ht="13" x14ac:dyDescent="0.15">
      <c r="G754" s="7"/>
    </row>
    <row r="755" spans="7:7" ht="13" x14ac:dyDescent="0.15">
      <c r="G755" s="7"/>
    </row>
    <row r="756" spans="7:7" ht="13" x14ac:dyDescent="0.15">
      <c r="G756" s="7"/>
    </row>
    <row r="757" spans="7:7" ht="13" x14ac:dyDescent="0.15">
      <c r="G757" s="7"/>
    </row>
    <row r="758" spans="7:7" ht="13" x14ac:dyDescent="0.15">
      <c r="G758" s="7"/>
    </row>
    <row r="759" spans="7:7" ht="13" x14ac:dyDescent="0.15">
      <c r="G759" s="7"/>
    </row>
    <row r="760" spans="7:7" ht="13" x14ac:dyDescent="0.15">
      <c r="G760" s="7"/>
    </row>
    <row r="761" spans="7:7" ht="13" x14ac:dyDescent="0.15">
      <c r="G761" s="7"/>
    </row>
    <row r="762" spans="7:7" ht="13" x14ac:dyDescent="0.15">
      <c r="G762" s="7"/>
    </row>
    <row r="763" spans="7:7" ht="13" x14ac:dyDescent="0.15">
      <c r="G763" s="7"/>
    </row>
    <row r="764" spans="7:7" ht="13" x14ac:dyDescent="0.15">
      <c r="G764" s="7"/>
    </row>
    <row r="765" spans="7:7" ht="13" x14ac:dyDescent="0.15">
      <c r="G765" s="7"/>
    </row>
    <row r="766" spans="7:7" ht="13" x14ac:dyDescent="0.15">
      <c r="G766" s="7"/>
    </row>
    <row r="767" spans="7:7" ht="13" x14ac:dyDescent="0.15">
      <c r="G767" s="7"/>
    </row>
    <row r="768" spans="7:7" ht="13" x14ac:dyDescent="0.15">
      <c r="G768" s="7"/>
    </row>
    <row r="769" spans="7:7" ht="13" x14ac:dyDescent="0.15">
      <c r="G769" s="7"/>
    </row>
    <row r="770" spans="7:7" ht="13" x14ac:dyDescent="0.15">
      <c r="G770" s="7"/>
    </row>
    <row r="771" spans="7:7" ht="13" x14ac:dyDescent="0.15">
      <c r="G771" s="7"/>
    </row>
    <row r="772" spans="7:7" ht="13" x14ac:dyDescent="0.15">
      <c r="G772" s="7"/>
    </row>
    <row r="773" spans="7:7" ht="13" x14ac:dyDescent="0.15">
      <c r="G773" s="7"/>
    </row>
    <row r="774" spans="7:7" ht="13" x14ac:dyDescent="0.15">
      <c r="G774" s="7"/>
    </row>
    <row r="775" spans="7:7" ht="13" x14ac:dyDescent="0.15">
      <c r="G775" s="7"/>
    </row>
    <row r="776" spans="7:7" ht="13" x14ac:dyDescent="0.15">
      <c r="G776" s="7"/>
    </row>
    <row r="777" spans="7:7" ht="13" x14ac:dyDescent="0.15">
      <c r="G777" s="7"/>
    </row>
    <row r="778" spans="7:7" ht="13" x14ac:dyDescent="0.15">
      <c r="G778" s="7"/>
    </row>
    <row r="779" spans="7:7" ht="13" x14ac:dyDescent="0.15">
      <c r="G779" s="7"/>
    </row>
    <row r="780" spans="7:7" ht="13" x14ac:dyDescent="0.15">
      <c r="G780" s="7"/>
    </row>
    <row r="781" spans="7:7" ht="13" x14ac:dyDescent="0.15">
      <c r="G781" s="7"/>
    </row>
    <row r="782" spans="7:7" ht="13" x14ac:dyDescent="0.15">
      <c r="G782" s="7"/>
    </row>
    <row r="783" spans="7:7" ht="13" x14ac:dyDescent="0.15">
      <c r="G783" s="7"/>
    </row>
    <row r="784" spans="7:7" ht="13" x14ac:dyDescent="0.15">
      <c r="G784" s="7"/>
    </row>
    <row r="785" spans="7:7" ht="13" x14ac:dyDescent="0.15">
      <c r="G785" s="7"/>
    </row>
    <row r="786" spans="7:7" ht="13" x14ac:dyDescent="0.15">
      <c r="G786" s="7"/>
    </row>
    <row r="787" spans="7:7" ht="13" x14ac:dyDescent="0.15">
      <c r="G787" s="7"/>
    </row>
    <row r="788" spans="7:7" ht="13" x14ac:dyDescent="0.15">
      <c r="G788" s="7"/>
    </row>
    <row r="789" spans="7:7" ht="13" x14ac:dyDescent="0.15">
      <c r="G789" s="7"/>
    </row>
    <row r="790" spans="7:7" ht="13" x14ac:dyDescent="0.15">
      <c r="G790" s="7"/>
    </row>
    <row r="791" spans="7:7" ht="13" x14ac:dyDescent="0.15">
      <c r="G791" s="7"/>
    </row>
    <row r="792" spans="7:7" ht="13" x14ac:dyDescent="0.15">
      <c r="G792" s="7"/>
    </row>
    <row r="793" spans="7:7" ht="13" x14ac:dyDescent="0.15">
      <c r="G793" s="7"/>
    </row>
    <row r="794" spans="7:7" ht="13" x14ac:dyDescent="0.15">
      <c r="G794" s="7"/>
    </row>
    <row r="795" spans="7:7" ht="13" x14ac:dyDescent="0.15">
      <c r="G795" s="7"/>
    </row>
    <row r="796" spans="7:7" ht="13" x14ac:dyDescent="0.15">
      <c r="G796" s="7"/>
    </row>
    <row r="797" spans="7:7" ht="13" x14ac:dyDescent="0.15">
      <c r="G797" s="7"/>
    </row>
    <row r="798" spans="7:7" ht="13" x14ac:dyDescent="0.15">
      <c r="G798" s="7"/>
    </row>
    <row r="799" spans="7:7" ht="13" x14ac:dyDescent="0.15">
      <c r="G799" s="7"/>
    </row>
    <row r="800" spans="7:7" ht="13" x14ac:dyDescent="0.15">
      <c r="G800" s="7"/>
    </row>
    <row r="801" spans="7:7" ht="13" x14ac:dyDescent="0.15">
      <c r="G801" s="7"/>
    </row>
    <row r="802" spans="7:7" ht="13" x14ac:dyDescent="0.15">
      <c r="G802" s="7"/>
    </row>
    <row r="803" spans="7:7" ht="13" x14ac:dyDescent="0.15">
      <c r="G803" s="7"/>
    </row>
    <row r="804" spans="7:7" ht="13" x14ac:dyDescent="0.15">
      <c r="G804" s="7"/>
    </row>
    <row r="805" spans="7:7" ht="13" x14ac:dyDescent="0.15">
      <c r="G805" s="7"/>
    </row>
    <row r="806" spans="7:7" ht="13" x14ac:dyDescent="0.15">
      <c r="G806" s="7"/>
    </row>
    <row r="807" spans="7:7" ht="13" x14ac:dyDescent="0.15">
      <c r="G807" s="7"/>
    </row>
    <row r="808" spans="7:7" ht="13" x14ac:dyDescent="0.15">
      <c r="G808" s="7"/>
    </row>
    <row r="809" spans="7:7" ht="13" x14ac:dyDescent="0.15">
      <c r="G809" s="7"/>
    </row>
    <row r="810" spans="7:7" ht="13" x14ac:dyDescent="0.15">
      <c r="G810" s="7"/>
    </row>
    <row r="811" spans="7:7" ht="13" x14ac:dyDescent="0.15">
      <c r="G811" s="7"/>
    </row>
    <row r="812" spans="7:7" ht="13" x14ac:dyDescent="0.15">
      <c r="G812" s="7"/>
    </row>
    <row r="813" spans="7:7" ht="13" x14ac:dyDescent="0.15">
      <c r="G813" s="7"/>
    </row>
    <row r="814" spans="7:7" ht="13" x14ac:dyDescent="0.15">
      <c r="G814" s="7"/>
    </row>
    <row r="815" spans="7:7" ht="13" x14ac:dyDescent="0.15">
      <c r="G815" s="7"/>
    </row>
    <row r="816" spans="7:7" ht="13" x14ac:dyDescent="0.15">
      <c r="G816" s="7"/>
    </row>
    <row r="817" spans="7:7" ht="13" x14ac:dyDescent="0.15">
      <c r="G817" s="7"/>
    </row>
    <row r="818" spans="7:7" ht="13" x14ac:dyDescent="0.15">
      <c r="G818" s="7"/>
    </row>
    <row r="819" spans="7:7" ht="13" x14ac:dyDescent="0.15">
      <c r="G819" s="7"/>
    </row>
    <row r="820" spans="7:7" ht="13" x14ac:dyDescent="0.15">
      <c r="G820" s="7"/>
    </row>
    <row r="821" spans="7:7" ht="13" x14ac:dyDescent="0.15">
      <c r="G821" s="7"/>
    </row>
    <row r="822" spans="7:7" ht="13" x14ac:dyDescent="0.15">
      <c r="G822" s="7"/>
    </row>
    <row r="823" spans="7:7" ht="13" x14ac:dyDescent="0.15">
      <c r="G823" s="7"/>
    </row>
    <row r="824" spans="7:7" ht="13" x14ac:dyDescent="0.15">
      <c r="G824" s="7"/>
    </row>
    <row r="825" spans="7:7" ht="13" x14ac:dyDescent="0.15">
      <c r="G825" s="7"/>
    </row>
    <row r="826" spans="7:7" ht="13" x14ac:dyDescent="0.15">
      <c r="G826" s="7"/>
    </row>
    <row r="827" spans="7:7" ht="13" x14ac:dyDescent="0.15">
      <c r="G827" s="7"/>
    </row>
    <row r="828" spans="7:7" ht="13" x14ac:dyDescent="0.15">
      <c r="G828" s="7"/>
    </row>
    <row r="829" spans="7:7" ht="13" x14ac:dyDescent="0.15">
      <c r="G829" s="7"/>
    </row>
    <row r="830" spans="7:7" ht="13" x14ac:dyDescent="0.15">
      <c r="G830" s="7"/>
    </row>
    <row r="831" spans="7:7" ht="13" x14ac:dyDescent="0.15">
      <c r="G831" s="7"/>
    </row>
    <row r="832" spans="7:7" ht="13" x14ac:dyDescent="0.15">
      <c r="G832" s="7"/>
    </row>
    <row r="833" spans="7:7" ht="13" x14ac:dyDescent="0.15">
      <c r="G833" s="7"/>
    </row>
    <row r="834" spans="7:7" ht="13" x14ac:dyDescent="0.15">
      <c r="G834" s="7"/>
    </row>
    <row r="835" spans="7:7" ht="13" x14ac:dyDescent="0.15">
      <c r="G835" s="7"/>
    </row>
    <row r="836" spans="7:7" ht="13" x14ac:dyDescent="0.15">
      <c r="G836" s="7"/>
    </row>
    <row r="837" spans="7:7" ht="13" x14ac:dyDescent="0.15">
      <c r="G837" s="7"/>
    </row>
    <row r="838" spans="7:7" ht="13" x14ac:dyDescent="0.15">
      <c r="G838" s="7"/>
    </row>
    <row r="839" spans="7:7" ht="13" x14ac:dyDescent="0.15">
      <c r="G839" s="7"/>
    </row>
    <row r="840" spans="7:7" ht="13" x14ac:dyDescent="0.15">
      <c r="G840" s="7"/>
    </row>
    <row r="841" spans="7:7" ht="13" x14ac:dyDescent="0.15">
      <c r="G841" s="7"/>
    </row>
    <row r="842" spans="7:7" ht="13" x14ac:dyDescent="0.15">
      <c r="G842" s="7"/>
    </row>
    <row r="843" spans="7:7" ht="13" x14ac:dyDescent="0.15">
      <c r="G843" s="7"/>
    </row>
    <row r="844" spans="7:7" ht="13" x14ac:dyDescent="0.15">
      <c r="G844" s="7"/>
    </row>
    <row r="845" spans="7:7" ht="13" x14ac:dyDescent="0.15">
      <c r="G845" s="7"/>
    </row>
    <row r="846" spans="7:7" ht="13" x14ac:dyDescent="0.15">
      <c r="G846" s="7"/>
    </row>
    <row r="847" spans="7:7" ht="13" x14ac:dyDescent="0.15">
      <c r="G847" s="7"/>
    </row>
    <row r="848" spans="7:7" ht="13" x14ac:dyDescent="0.15">
      <c r="G848" s="7"/>
    </row>
    <row r="849" spans="7:7" ht="13" x14ac:dyDescent="0.15">
      <c r="G849" s="7"/>
    </row>
    <row r="850" spans="7:7" ht="13" x14ac:dyDescent="0.15">
      <c r="G850" s="7"/>
    </row>
    <row r="851" spans="7:7" ht="13" x14ac:dyDescent="0.15">
      <c r="G851" s="7"/>
    </row>
    <row r="852" spans="7:7" ht="13" x14ac:dyDescent="0.15">
      <c r="G852" s="7"/>
    </row>
    <row r="853" spans="7:7" ht="13" x14ac:dyDescent="0.15">
      <c r="G853" s="7"/>
    </row>
    <row r="854" spans="7:7" ht="13" x14ac:dyDescent="0.15">
      <c r="G854" s="7"/>
    </row>
    <row r="855" spans="7:7" ht="13" x14ac:dyDescent="0.15">
      <c r="G855" s="7"/>
    </row>
    <row r="856" spans="7:7" ht="13" x14ac:dyDescent="0.15">
      <c r="G856" s="7"/>
    </row>
    <row r="857" spans="7:7" ht="13" x14ac:dyDescent="0.15">
      <c r="G857" s="7"/>
    </row>
    <row r="858" spans="7:7" ht="13" x14ac:dyDescent="0.15">
      <c r="G858" s="7"/>
    </row>
    <row r="859" spans="7:7" ht="13" x14ac:dyDescent="0.15">
      <c r="G859" s="7"/>
    </row>
    <row r="860" spans="7:7" ht="13" x14ac:dyDescent="0.15">
      <c r="G860" s="7"/>
    </row>
    <row r="861" spans="7:7" ht="13" x14ac:dyDescent="0.15">
      <c r="G861" s="7"/>
    </row>
    <row r="862" spans="7:7" ht="13" x14ac:dyDescent="0.15">
      <c r="G862" s="7"/>
    </row>
    <row r="863" spans="7:7" ht="13" x14ac:dyDescent="0.15">
      <c r="G863" s="7"/>
    </row>
    <row r="864" spans="7:7" ht="13" x14ac:dyDescent="0.15">
      <c r="G864" s="7"/>
    </row>
    <row r="865" spans="7:7" ht="13" x14ac:dyDescent="0.15">
      <c r="G865" s="7"/>
    </row>
    <row r="866" spans="7:7" ht="13" x14ac:dyDescent="0.15">
      <c r="G866" s="7"/>
    </row>
    <row r="867" spans="7:7" ht="13" x14ac:dyDescent="0.15">
      <c r="G867" s="7"/>
    </row>
    <row r="868" spans="7:7" ht="13" x14ac:dyDescent="0.15">
      <c r="G868" s="7"/>
    </row>
    <row r="869" spans="7:7" ht="13" x14ac:dyDescent="0.15">
      <c r="G869" s="7"/>
    </row>
    <row r="870" spans="7:7" ht="13" x14ac:dyDescent="0.15">
      <c r="G870" s="7"/>
    </row>
    <row r="871" spans="7:7" ht="13" x14ac:dyDescent="0.15">
      <c r="G871" s="7"/>
    </row>
    <row r="872" spans="7:7" ht="13" x14ac:dyDescent="0.15">
      <c r="G872" s="7"/>
    </row>
    <row r="873" spans="7:7" ht="13" x14ac:dyDescent="0.15">
      <c r="G873" s="7"/>
    </row>
    <row r="874" spans="7:7" ht="13" x14ac:dyDescent="0.15">
      <c r="G874" s="7"/>
    </row>
    <row r="875" spans="7:7" ht="13" x14ac:dyDescent="0.15">
      <c r="G875" s="7"/>
    </row>
    <row r="876" spans="7:7" ht="13" x14ac:dyDescent="0.15">
      <c r="G876" s="7"/>
    </row>
    <row r="877" spans="7:7" ht="13" x14ac:dyDescent="0.15">
      <c r="G877" s="7"/>
    </row>
    <row r="878" spans="7:7" ht="13" x14ac:dyDescent="0.15">
      <c r="G878" s="7"/>
    </row>
    <row r="879" spans="7:7" ht="13" x14ac:dyDescent="0.15">
      <c r="G879" s="7"/>
    </row>
    <row r="880" spans="7:7" ht="13" x14ac:dyDescent="0.15">
      <c r="G880" s="7"/>
    </row>
    <row r="881" spans="7:7" ht="13" x14ac:dyDescent="0.15">
      <c r="G881" s="7"/>
    </row>
    <row r="882" spans="7:7" ht="13" x14ac:dyDescent="0.15">
      <c r="G882" s="7"/>
    </row>
    <row r="883" spans="7:7" ht="13" x14ac:dyDescent="0.15">
      <c r="G883" s="7"/>
    </row>
    <row r="884" spans="7:7" ht="13" x14ac:dyDescent="0.15">
      <c r="G884" s="7"/>
    </row>
    <row r="885" spans="7:7" ht="13" x14ac:dyDescent="0.15">
      <c r="G885" s="7"/>
    </row>
    <row r="886" spans="7:7" ht="13" x14ac:dyDescent="0.15">
      <c r="G886" s="7"/>
    </row>
    <row r="887" spans="7:7" ht="13" x14ac:dyDescent="0.15">
      <c r="G887" s="7"/>
    </row>
    <row r="888" spans="7:7" ht="13" x14ac:dyDescent="0.15">
      <c r="G888" s="7"/>
    </row>
    <row r="889" spans="7:7" ht="13" x14ac:dyDescent="0.15">
      <c r="G889" s="7"/>
    </row>
    <row r="890" spans="7:7" ht="13" x14ac:dyDescent="0.15">
      <c r="G890" s="7"/>
    </row>
    <row r="891" spans="7:7" ht="13" x14ac:dyDescent="0.15">
      <c r="G891" s="7"/>
    </row>
    <row r="892" spans="7:7" ht="13" x14ac:dyDescent="0.15">
      <c r="G892" s="7"/>
    </row>
    <row r="893" spans="7:7" ht="13" x14ac:dyDescent="0.15">
      <c r="G893" s="7"/>
    </row>
    <row r="894" spans="7:7" ht="13" x14ac:dyDescent="0.15">
      <c r="G894" s="7"/>
    </row>
    <row r="895" spans="7:7" ht="13" x14ac:dyDescent="0.15">
      <c r="G895" s="7"/>
    </row>
    <row r="896" spans="7:7" ht="13" x14ac:dyDescent="0.15">
      <c r="G896" s="7"/>
    </row>
    <row r="897" spans="7:7" ht="13" x14ac:dyDescent="0.15">
      <c r="G897" s="7"/>
    </row>
    <row r="898" spans="7:7" ht="13" x14ac:dyDescent="0.15">
      <c r="G898" s="7"/>
    </row>
    <row r="899" spans="7:7" ht="13" x14ac:dyDescent="0.15">
      <c r="G899" s="7"/>
    </row>
    <row r="900" spans="7:7" ht="13" x14ac:dyDescent="0.15">
      <c r="G900" s="7"/>
    </row>
    <row r="901" spans="7:7" ht="13" x14ac:dyDescent="0.15">
      <c r="G901" s="7"/>
    </row>
    <row r="902" spans="7:7" ht="13" x14ac:dyDescent="0.15">
      <c r="G902" s="7"/>
    </row>
    <row r="903" spans="7:7" ht="13" x14ac:dyDescent="0.15">
      <c r="G903" s="7"/>
    </row>
    <row r="904" spans="7:7" ht="13" x14ac:dyDescent="0.15">
      <c r="G904" s="7"/>
    </row>
    <row r="905" spans="7:7" ht="13" x14ac:dyDescent="0.15">
      <c r="G905" s="7"/>
    </row>
    <row r="906" spans="7:7" ht="13" x14ac:dyDescent="0.15">
      <c r="G906" s="7"/>
    </row>
    <row r="907" spans="7:7" ht="13" x14ac:dyDescent="0.15">
      <c r="G907" s="7"/>
    </row>
    <row r="908" spans="7:7" ht="13" x14ac:dyDescent="0.15">
      <c r="G908" s="7"/>
    </row>
    <row r="909" spans="7:7" ht="13" x14ac:dyDescent="0.15">
      <c r="G909" s="7"/>
    </row>
    <row r="910" spans="7:7" ht="13" x14ac:dyDescent="0.15">
      <c r="G910" s="7"/>
    </row>
    <row r="911" spans="7:7" ht="13" x14ac:dyDescent="0.15">
      <c r="G911" s="7"/>
    </row>
    <row r="912" spans="7:7" ht="13" x14ac:dyDescent="0.15">
      <c r="G912" s="7"/>
    </row>
    <row r="913" spans="7:7" ht="13" x14ac:dyDescent="0.15">
      <c r="G913" s="7"/>
    </row>
    <row r="914" spans="7:7" ht="13" x14ac:dyDescent="0.15">
      <c r="G914" s="7"/>
    </row>
    <row r="915" spans="7:7" ht="13" x14ac:dyDescent="0.15">
      <c r="G915" s="7"/>
    </row>
    <row r="916" spans="7:7" ht="13" x14ac:dyDescent="0.15">
      <c r="G916" s="7"/>
    </row>
    <row r="917" spans="7:7" ht="13" x14ac:dyDescent="0.15">
      <c r="G917" s="7"/>
    </row>
    <row r="918" spans="7:7" ht="13" x14ac:dyDescent="0.15">
      <c r="G918" s="7"/>
    </row>
    <row r="919" spans="7:7" ht="13" x14ac:dyDescent="0.15">
      <c r="G919" s="7"/>
    </row>
    <row r="920" spans="7:7" ht="13" x14ac:dyDescent="0.15">
      <c r="G920" s="7"/>
    </row>
    <row r="921" spans="7:7" ht="13" x14ac:dyDescent="0.15">
      <c r="G921" s="7"/>
    </row>
    <row r="922" spans="7:7" ht="13" x14ac:dyDescent="0.15">
      <c r="G922" s="7"/>
    </row>
    <row r="923" spans="7:7" ht="13" x14ac:dyDescent="0.15">
      <c r="G923" s="7"/>
    </row>
    <row r="924" spans="7:7" ht="13" x14ac:dyDescent="0.15">
      <c r="G924" s="7"/>
    </row>
    <row r="925" spans="7:7" ht="13" x14ac:dyDescent="0.15">
      <c r="G925" s="7"/>
    </row>
    <row r="926" spans="7:7" ht="13" x14ac:dyDescent="0.15">
      <c r="G926" s="7"/>
    </row>
    <row r="927" spans="7:7" ht="13" x14ac:dyDescent="0.15">
      <c r="G927" s="7"/>
    </row>
    <row r="928" spans="7:7" ht="13" x14ac:dyDescent="0.15">
      <c r="G928" s="7"/>
    </row>
    <row r="929" spans="7:7" ht="13" x14ac:dyDescent="0.15">
      <c r="G929" s="7"/>
    </row>
    <row r="930" spans="7:7" ht="13" x14ac:dyDescent="0.15">
      <c r="G930" s="7"/>
    </row>
    <row r="931" spans="7:7" ht="13" x14ac:dyDescent="0.15">
      <c r="G931" s="7"/>
    </row>
    <row r="932" spans="7:7" ht="13" x14ac:dyDescent="0.15">
      <c r="G932" s="7"/>
    </row>
    <row r="933" spans="7:7" ht="13" x14ac:dyDescent="0.15">
      <c r="G933" s="7"/>
    </row>
    <row r="934" spans="7:7" ht="13" x14ac:dyDescent="0.15">
      <c r="G934" s="7"/>
    </row>
    <row r="935" spans="7:7" ht="13" x14ac:dyDescent="0.15">
      <c r="G935" s="7"/>
    </row>
    <row r="936" spans="7:7" ht="13" x14ac:dyDescent="0.15">
      <c r="G936" s="7"/>
    </row>
    <row r="937" spans="7:7" ht="13" x14ac:dyDescent="0.15">
      <c r="G937" s="7"/>
    </row>
    <row r="938" spans="7:7" ht="13" x14ac:dyDescent="0.15">
      <c r="G938" s="7"/>
    </row>
    <row r="939" spans="7:7" ht="13" x14ac:dyDescent="0.15">
      <c r="G939" s="7"/>
    </row>
    <row r="940" spans="7:7" ht="13" x14ac:dyDescent="0.15">
      <c r="G940" s="7"/>
    </row>
    <row r="941" spans="7:7" ht="13" x14ac:dyDescent="0.15">
      <c r="G941" s="7"/>
    </row>
    <row r="942" spans="7:7" ht="13" x14ac:dyDescent="0.15">
      <c r="G942" s="7"/>
    </row>
    <row r="943" spans="7:7" ht="13" x14ac:dyDescent="0.15">
      <c r="G943" s="7"/>
    </row>
    <row r="944" spans="7:7" ht="13" x14ac:dyDescent="0.15">
      <c r="G944" s="7"/>
    </row>
    <row r="945" spans="7:7" ht="13" x14ac:dyDescent="0.15">
      <c r="G945" s="7"/>
    </row>
    <row r="946" spans="7:7" ht="13" x14ac:dyDescent="0.15">
      <c r="G946" s="7"/>
    </row>
    <row r="947" spans="7:7" ht="13" x14ac:dyDescent="0.15">
      <c r="G947" s="7"/>
    </row>
    <row r="948" spans="7:7" ht="13" x14ac:dyDescent="0.15">
      <c r="G948" s="7"/>
    </row>
    <row r="949" spans="7:7" ht="13" x14ac:dyDescent="0.15">
      <c r="G949" s="7"/>
    </row>
    <row r="950" spans="7:7" ht="13" x14ac:dyDescent="0.15">
      <c r="G950" s="7"/>
    </row>
    <row r="951" spans="7:7" ht="13" x14ac:dyDescent="0.15">
      <c r="G951" s="7"/>
    </row>
    <row r="952" spans="7:7" ht="13" x14ac:dyDescent="0.15">
      <c r="G952" s="7"/>
    </row>
    <row r="953" spans="7:7" ht="13" x14ac:dyDescent="0.15">
      <c r="G953" s="7"/>
    </row>
    <row r="954" spans="7:7" ht="13" x14ac:dyDescent="0.15">
      <c r="G954" s="7"/>
    </row>
    <row r="955" spans="7:7" ht="13" x14ac:dyDescent="0.15">
      <c r="G955" s="7"/>
    </row>
    <row r="956" spans="7:7" ht="13" x14ac:dyDescent="0.15">
      <c r="G956" s="7"/>
    </row>
    <row r="957" spans="7:7" ht="13" x14ac:dyDescent="0.15">
      <c r="G957" s="7"/>
    </row>
    <row r="958" spans="7:7" ht="13" x14ac:dyDescent="0.15">
      <c r="G958" s="7"/>
    </row>
    <row r="959" spans="7:7" ht="13" x14ac:dyDescent="0.15">
      <c r="G959" s="7"/>
    </row>
    <row r="960" spans="7:7" ht="13" x14ac:dyDescent="0.15">
      <c r="G960" s="7"/>
    </row>
    <row r="961" spans="7:7" ht="13" x14ac:dyDescent="0.15">
      <c r="G961" s="7"/>
    </row>
    <row r="962" spans="7:7" ht="13" x14ac:dyDescent="0.15">
      <c r="G962" s="7"/>
    </row>
    <row r="963" spans="7:7" ht="13" x14ac:dyDescent="0.15">
      <c r="G963" s="7"/>
    </row>
    <row r="964" spans="7:7" ht="13" x14ac:dyDescent="0.15">
      <c r="G964" s="7"/>
    </row>
    <row r="965" spans="7:7" ht="13" x14ac:dyDescent="0.15">
      <c r="G965" s="7"/>
    </row>
    <row r="966" spans="7:7" ht="13" x14ac:dyDescent="0.15">
      <c r="G966" s="7"/>
    </row>
    <row r="967" spans="7:7" ht="13" x14ac:dyDescent="0.15">
      <c r="G967" s="7"/>
    </row>
    <row r="968" spans="7:7" ht="13" x14ac:dyDescent="0.15">
      <c r="G968" s="7"/>
    </row>
    <row r="969" spans="7:7" ht="13" x14ac:dyDescent="0.15">
      <c r="G969" s="7"/>
    </row>
    <row r="970" spans="7:7" ht="13" x14ac:dyDescent="0.15">
      <c r="G970" s="7"/>
    </row>
    <row r="971" spans="7:7" ht="13" x14ac:dyDescent="0.15">
      <c r="G971" s="7"/>
    </row>
    <row r="972" spans="7:7" ht="13" x14ac:dyDescent="0.15">
      <c r="G972" s="7"/>
    </row>
    <row r="973" spans="7:7" ht="13" x14ac:dyDescent="0.15">
      <c r="G973" s="7"/>
    </row>
    <row r="974" spans="7:7" ht="13" x14ac:dyDescent="0.15">
      <c r="G974" s="7"/>
    </row>
    <row r="975" spans="7:7" ht="13" x14ac:dyDescent="0.15">
      <c r="G975" s="7"/>
    </row>
    <row r="976" spans="7:7" ht="13" x14ac:dyDescent="0.15">
      <c r="G976" s="7"/>
    </row>
    <row r="977" spans="7:7" ht="13" x14ac:dyDescent="0.15">
      <c r="G977" s="7"/>
    </row>
    <row r="978" spans="7:7" ht="13" x14ac:dyDescent="0.15">
      <c r="G978" s="7"/>
    </row>
    <row r="979" spans="7:7" ht="13" x14ac:dyDescent="0.15">
      <c r="G979" s="7"/>
    </row>
    <row r="980" spans="7:7" ht="13" x14ac:dyDescent="0.15">
      <c r="G980" s="7"/>
    </row>
    <row r="981" spans="7:7" ht="13" x14ac:dyDescent="0.15">
      <c r="G981" s="7"/>
    </row>
    <row r="982" spans="7:7" ht="13" x14ac:dyDescent="0.15">
      <c r="G982" s="7"/>
    </row>
    <row r="983" spans="7:7" ht="13" x14ac:dyDescent="0.15">
      <c r="G983" s="7"/>
    </row>
    <row r="984" spans="7:7" ht="13" x14ac:dyDescent="0.15">
      <c r="G984" s="7"/>
    </row>
    <row r="985" spans="7:7" ht="13" x14ac:dyDescent="0.15">
      <c r="G985" s="7"/>
    </row>
    <row r="986" spans="7:7" ht="13" x14ac:dyDescent="0.15">
      <c r="G986" s="7"/>
    </row>
    <row r="987" spans="7:7" ht="13" x14ac:dyDescent="0.15">
      <c r="G987" s="7"/>
    </row>
    <row r="988" spans="7:7" ht="13" x14ac:dyDescent="0.15">
      <c r="G988" s="7"/>
    </row>
    <row r="989" spans="7:7" ht="13" x14ac:dyDescent="0.15">
      <c r="G989" s="7"/>
    </row>
    <row r="990" spans="7:7" ht="13" x14ac:dyDescent="0.15">
      <c r="G990" s="7"/>
    </row>
    <row r="991" spans="7:7" ht="13" x14ac:dyDescent="0.15">
      <c r="G991" s="7"/>
    </row>
    <row r="992" spans="7:7" ht="13" x14ac:dyDescent="0.15">
      <c r="G992" s="7"/>
    </row>
    <row r="993" spans="7:7" ht="13" x14ac:dyDescent="0.15">
      <c r="G993" s="7"/>
    </row>
    <row r="994" spans="7:7" ht="13" x14ac:dyDescent="0.15">
      <c r="G994" s="7"/>
    </row>
    <row r="995" spans="7:7" ht="13" x14ac:dyDescent="0.15">
      <c r="G995" s="7"/>
    </row>
    <row r="996" spans="7:7" ht="13" x14ac:dyDescent="0.15">
      <c r="G996" s="7"/>
    </row>
    <row r="997" spans="7:7" ht="13" x14ac:dyDescent="0.15">
      <c r="G997" s="7"/>
    </row>
    <row r="998" spans="7:7" ht="13" x14ac:dyDescent="0.15">
      <c r="G998" s="7"/>
    </row>
    <row r="999" spans="7:7" ht="13" x14ac:dyDescent="0.15">
      <c r="G999" s="7"/>
    </row>
    <row r="1000" spans="7:7" ht="13" x14ac:dyDescent="0.15">
      <c r="G1000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CK17"/>
  <sheetViews>
    <sheetView workbookViewId="0"/>
  </sheetViews>
  <sheetFormatPr baseColWidth="10" defaultColWidth="12.6640625" defaultRowHeight="15.75" customHeight="1" x14ac:dyDescent="0.15"/>
  <cols>
    <col min="1" max="1" width="5.1640625" customWidth="1"/>
    <col min="2" max="2" width="17.5" customWidth="1"/>
    <col min="3" max="3" width="1.83203125" customWidth="1"/>
    <col min="4" max="4" width="20.1640625" customWidth="1"/>
    <col min="5" max="5" width="10" customWidth="1"/>
    <col min="6" max="6" width="5.1640625" customWidth="1"/>
    <col min="7" max="7" width="18.6640625" customWidth="1"/>
    <col min="8" max="8" width="1.83203125" customWidth="1"/>
    <col min="9" max="9" width="20.1640625" customWidth="1"/>
    <col min="10" max="10" width="10" customWidth="1"/>
    <col min="11" max="11" width="5.1640625" customWidth="1"/>
    <col min="12" max="12" width="20.1640625" customWidth="1"/>
    <col min="13" max="13" width="1.83203125" customWidth="1"/>
    <col min="14" max="14" width="17.5" customWidth="1"/>
    <col min="15" max="15" width="10" customWidth="1"/>
    <col min="16" max="16" width="5.1640625" customWidth="1"/>
    <col min="17" max="17" width="20.1640625" customWidth="1"/>
    <col min="18" max="18" width="1.83203125" customWidth="1"/>
    <col min="19" max="19" width="17.5" customWidth="1"/>
    <col min="20" max="20" width="10" customWidth="1"/>
    <col min="21" max="21" width="5.1640625" customWidth="1"/>
    <col min="22" max="22" width="20.1640625" customWidth="1"/>
    <col min="23" max="23" width="1.83203125" customWidth="1"/>
    <col min="24" max="24" width="18.6640625" customWidth="1"/>
    <col min="25" max="25" width="10" customWidth="1"/>
    <col min="26" max="26" width="5.1640625" customWidth="1"/>
    <col min="27" max="27" width="18.6640625" customWidth="1"/>
    <col min="28" max="28" width="1.83203125" customWidth="1"/>
    <col min="29" max="29" width="20.1640625" customWidth="1"/>
    <col min="30" max="30" width="10" customWidth="1"/>
    <col min="31" max="31" width="5.1640625" customWidth="1"/>
    <col min="32" max="32" width="15.6640625" customWidth="1"/>
    <col min="33" max="33" width="1.83203125" customWidth="1"/>
    <col min="34" max="34" width="18.6640625" customWidth="1"/>
    <col min="35" max="35" width="10" customWidth="1"/>
    <col min="36" max="36" width="5.1640625" customWidth="1"/>
    <col min="37" max="37" width="20.1640625" customWidth="1"/>
    <col min="38" max="38" width="1.83203125" customWidth="1"/>
    <col min="39" max="39" width="17.5" customWidth="1"/>
    <col min="40" max="40" width="10" customWidth="1"/>
    <col min="41" max="41" width="5.1640625" customWidth="1"/>
    <col min="42" max="42" width="20.1640625" customWidth="1"/>
    <col min="43" max="43" width="1.83203125" customWidth="1"/>
    <col min="44" max="44" width="18.6640625" customWidth="1"/>
    <col min="45" max="45" width="10" customWidth="1"/>
    <col min="46" max="46" width="5.1640625" customWidth="1"/>
    <col min="47" max="47" width="15.6640625" customWidth="1"/>
    <col min="48" max="48" width="1.83203125" customWidth="1"/>
    <col min="49" max="49" width="20.1640625" customWidth="1"/>
    <col min="50" max="50" width="10" customWidth="1"/>
    <col min="51" max="51" width="5.1640625" customWidth="1"/>
    <col min="52" max="52" width="20.1640625" customWidth="1"/>
    <col min="53" max="53" width="1.83203125" customWidth="1"/>
    <col min="54" max="54" width="18.6640625" customWidth="1"/>
    <col min="55" max="55" width="10" customWidth="1"/>
    <col min="56" max="56" width="5.1640625" customWidth="1"/>
    <col min="57" max="57" width="18.6640625" customWidth="1"/>
    <col min="58" max="58" width="1.83203125" customWidth="1"/>
    <col min="59" max="59" width="20.1640625" customWidth="1"/>
    <col min="60" max="60" width="10" customWidth="1"/>
    <col min="61" max="61" width="5.1640625" customWidth="1"/>
    <col min="62" max="62" width="18.6640625" customWidth="1"/>
    <col min="63" max="63" width="1.83203125" customWidth="1"/>
    <col min="64" max="64" width="20.1640625" customWidth="1"/>
    <col min="65" max="65" width="10" customWidth="1"/>
    <col min="66" max="66" width="5.1640625" customWidth="1"/>
    <col min="67" max="67" width="20.1640625" customWidth="1"/>
    <col min="68" max="68" width="1.83203125" customWidth="1"/>
    <col min="69" max="69" width="18.6640625" customWidth="1"/>
    <col min="70" max="70" width="10" customWidth="1"/>
    <col min="71" max="71" width="5.1640625" customWidth="1"/>
    <col min="72" max="72" width="20.1640625" customWidth="1"/>
    <col min="73" max="73" width="1.83203125" customWidth="1"/>
    <col min="74" max="74" width="17" customWidth="1"/>
    <col min="75" max="75" width="10" customWidth="1"/>
    <col min="76" max="76" width="5.1640625" customWidth="1"/>
    <col min="77" max="77" width="15.6640625" customWidth="1"/>
    <col min="78" max="78" width="1.83203125" customWidth="1"/>
    <col min="79" max="79" width="20.1640625" customWidth="1"/>
    <col min="80" max="80" width="10" customWidth="1"/>
    <col min="81" max="81" width="5.1640625" customWidth="1"/>
    <col min="82" max="82" width="18.6640625" customWidth="1"/>
    <col min="83" max="83" width="1.83203125" customWidth="1"/>
    <col min="84" max="84" width="20.1640625" customWidth="1"/>
    <col min="85" max="85" width="10" customWidth="1"/>
    <col min="86" max="86" width="5.1640625" customWidth="1"/>
    <col min="87" max="87" width="20.1640625" customWidth="1"/>
    <col min="88" max="88" width="1.83203125" customWidth="1"/>
    <col min="89" max="89" width="18.6640625" customWidth="1"/>
  </cols>
  <sheetData>
    <row r="1" spans="1:89" ht="15.75" customHeight="1" x14ac:dyDescent="0.15">
      <c r="A1" s="9" t="s">
        <v>27</v>
      </c>
      <c r="B1" s="9" t="s">
        <v>85</v>
      </c>
      <c r="C1" s="9" t="s">
        <v>86</v>
      </c>
      <c r="D1" s="9" t="s">
        <v>87</v>
      </c>
      <c r="E1" s="9"/>
      <c r="F1" s="9" t="s">
        <v>27</v>
      </c>
      <c r="G1" s="9" t="s">
        <v>85</v>
      </c>
      <c r="H1" s="9" t="s">
        <v>86</v>
      </c>
      <c r="I1" s="9" t="s">
        <v>87</v>
      </c>
      <c r="J1" s="9"/>
      <c r="K1" s="9" t="s">
        <v>27</v>
      </c>
      <c r="L1" s="9" t="s">
        <v>85</v>
      </c>
      <c r="M1" s="9" t="s">
        <v>86</v>
      </c>
      <c r="N1" s="9" t="s">
        <v>87</v>
      </c>
      <c r="O1" s="9"/>
      <c r="P1" s="9" t="s">
        <v>27</v>
      </c>
      <c r="Q1" s="9" t="s">
        <v>85</v>
      </c>
      <c r="R1" s="9" t="s">
        <v>86</v>
      </c>
      <c r="S1" s="9" t="s">
        <v>87</v>
      </c>
      <c r="T1" s="9"/>
      <c r="U1" s="9" t="s">
        <v>27</v>
      </c>
      <c r="V1" s="9" t="s">
        <v>85</v>
      </c>
      <c r="W1" s="9" t="s">
        <v>86</v>
      </c>
      <c r="X1" s="9" t="s">
        <v>87</v>
      </c>
      <c r="Y1" s="9"/>
      <c r="Z1" s="9" t="s">
        <v>27</v>
      </c>
      <c r="AA1" s="9" t="s">
        <v>85</v>
      </c>
      <c r="AB1" s="9" t="s">
        <v>86</v>
      </c>
      <c r="AC1" s="9" t="s">
        <v>87</v>
      </c>
      <c r="AD1" s="9"/>
      <c r="AE1" s="9" t="s">
        <v>27</v>
      </c>
      <c r="AF1" s="9" t="s">
        <v>85</v>
      </c>
      <c r="AG1" s="9" t="s">
        <v>86</v>
      </c>
      <c r="AH1" s="9" t="s">
        <v>87</v>
      </c>
      <c r="AI1" s="9"/>
      <c r="AJ1" s="9" t="s">
        <v>27</v>
      </c>
      <c r="AK1" s="9" t="s">
        <v>85</v>
      </c>
      <c r="AL1" s="9" t="s">
        <v>86</v>
      </c>
      <c r="AM1" s="9" t="s">
        <v>87</v>
      </c>
      <c r="AN1" s="9"/>
      <c r="AO1" s="9" t="s">
        <v>27</v>
      </c>
      <c r="AP1" s="9" t="s">
        <v>85</v>
      </c>
      <c r="AQ1" s="9" t="s">
        <v>86</v>
      </c>
      <c r="AR1" s="9" t="s">
        <v>87</v>
      </c>
      <c r="AS1" s="9"/>
      <c r="AT1" s="9" t="s">
        <v>27</v>
      </c>
      <c r="AU1" s="9" t="s">
        <v>85</v>
      </c>
      <c r="AV1" s="9" t="s">
        <v>86</v>
      </c>
      <c r="AW1" s="9" t="s">
        <v>87</v>
      </c>
      <c r="AX1" s="9"/>
      <c r="AY1" s="9" t="s">
        <v>27</v>
      </c>
      <c r="AZ1" s="9" t="s">
        <v>85</v>
      </c>
      <c r="BA1" s="9" t="s">
        <v>86</v>
      </c>
      <c r="BB1" s="9" t="s">
        <v>87</v>
      </c>
      <c r="BC1" s="9"/>
      <c r="BD1" s="9" t="s">
        <v>27</v>
      </c>
      <c r="BE1" s="9" t="s">
        <v>85</v>
      </c>
      <c r="BF1" s="9" t="s">
        <v>86</v>
      </c>
      <c r="BG1" s="9" t="s">
        <v>87</v>
      </c>
      <c r="BH1" s="9"/>
      <c r="BI1" s="9" t="s">
        <v>27</v>
      </c>
      <c r="BJ1" s="9" t="s">
        <v>85</v>
      </c>
      <c r="BK1" s="9" t="s">
        <v>86</v>
      </c>
      <c r="BL1" s="9" t="s">
        <v>87</v>
      </c>
      <c r="BM1" s="9"/>
      <c r="BN1" s="9" t="s">
        <v>27</v>
      </c>
      <c r="BO1" s="9" t="s">
        <v>85</v>
      </c>
      <c r="BP1" s="9" t="s">
        <v>86</v>
      </c>
      <c r="BQ1" s="9" t="s">
        <v>87</v>
      </c>
      <c r="BR1" s="9"/>
      <c r="BS1" s="9" t="s">
        <v>27</v>
      </c>
      <c r="BT1" s="9" t="s">
        <v>85</v>
      </c>
      <c r="BU1" s="9" t="s">
        <v>86</v>
      </c>
      <c r="BV1" s="9" t="s">
        <v>87</v>
      </c>
      <c r="BW1" s="9"/>
      <c r="BX1" s="9" t="s">
        <v>27</v>
      </c>
      <c r="BY1" s="9" t="s">
        <v>85</v>
      </c>
      <c r="BZ1" s="9" t="s">
        <v>86</v>
      </c>
      <c r="CA1" s="9" t="s">
        <v>87</v>
      </c>
      <c r="CB1" s="9"/>
      <c r="CC1" s="9" t="s">
        <v>27</v>
      </c>
      <c r="CD1" s="9" t="s">
        <v>85</v>
      </c>
      <c r="CE1" s="9" t="s">
        <v>86</v>
      </c>
      <c r="CF1" s="9" t="s">
        <v>87</v>
      </c>
      <c r="CG1" s="9"/>
      <c r="CH1" s="9" t="s">
        <v>27</v>
      </c>
      <c r="CI1" s="9" t="s">
        <v>85</v>
      </c>
      <c r="CJ1" s="9" t="s">
        <v>86</v>
      </c>
      <c r="CK1" s="9" t="s">
        <v>87</v>
      </c>
    </row>
    <row r="2" spans="1:89" ht="15.75" customHeight="1" x14ac:dyDescent="0.15">
      <c r="A2" s="10">
        <v>1</v>
      </c>
      <c r="B2" s="9" t="s">
        <v>44</v>
      </c>
      <c r="C2" s="9" t="s">
        <v>86</v>
      </c>
      <c r="D2" s="9" t="s">
        <v>40</v>
      </c>
      <c r="E2" s="10"/>
      <c r="F2" s="10">
        <v>2</v>
      </c>
      <c r="G2" s="9" t="s">
        <v>51</v>
      </c>
      <c r="H2" s="9" t="s">
        <v>86</v>
      </c>
      <c r="I2" s="9" t="s">
        <v>22</v>
      </c>
      <c r="J2" s="10"/>
      <c r="K2" s="10">
        <v>3</v>
      </c>
      <c r="L2" s="9" t="s">
        <v>50</v>
      </c>
      <c r="M2" s="9" t="s">
        <v>86</v>
      </c>
      <c r="N2" s="9" t="s">
        <v>65</v>
      </c>
      <c r="O2" s="10"/>
      <c r="P2" s="10">
        <v>4</v>
      </c>
      <c r="Q2" s="9" t="s">
        <v>68</v>
      </c>
      <c r="R2" s="9" t="s">
        <v>86</v>
      </c>
      <c r="S2" s="9" t="s">
        <v>59</v>
      </c>
      <c r="T2" s="10"/>
      <c r="U2" s="10">
        <v>5</v>
      </c>
      <c r="V2" s="9" t="s">
        <v>43</v>
      </c>
      <c r="W2" s="9" t="s">
        <v>86</v>
      </c>
      <c r="X2" s="9" t="s">
        <v>61</v>
      </c>
      <c r="Y2" s="10"/>
      <c r="Z2" s="10">
        <v>6</v>
      </c>
      <c r="AA2" s="9" t="s">
        <v>42</v>
      </c>
      <c r="AB2" s="9" t="s">
        <v>86</v>
      </c>
      <c r="AC2" s="9" t="s">
        <v>44</v>
      </c>
      <c r="AD2" s="10"/>
      <c r="AE2" s="10">
        <v>7</v>
      </c>
      <c r="AF2" s="9" t="s">
        <v>49</v>
      </c>
      <c r="AG2" s="9" t="s">
        <v>86</v>
      </c>
      <c r="AH2" s="9" t="s">
        <v>40</v>
      </c>
      <c r="AI2" s="10"/>
      <c r="AJ2" s="10">
        <v>8</v>
      </c>
      <c r="AK2" s="9" t="s">
        <v>50</v>
      </c>
      <c r="AL2" s="9" t="s">
        <v>86</v>
      </c>
      <c r="AM2" s="9" t="s">
        <v>64</v>
      </c>
      <c r="AN2" s="10"/>
      <c r="AO2" s="10">
        <v>9</v>
      </c>
      <c r="AP2" s="9" t="s">
        <v>15</v>
      </c>
      <c r="AQ2" s="9" t="s">
        <v>86</v>
      </c>
      <c r="AR2" s="9" t="s">
        <v>12</v>
      </c>
      <c r="AS2" s="10"/>
      <c r="AT2" s="10">
        <v>10</v>
      </c>
      <c r="AU2" s="9" t="s">
        <v>60</v>
      </c>
      <c r="AV2" s="9" t="s">
        <v>86</v>
      </c>
      <c r="AW2" s="9" t="s">
        <v>62</v>
      </c>
      <c r="AX2" s="10"/>
      <c r="AY2" s="10">
        <v>11</v>
      </c>
      <c r="AZ2" s="9" t="s">
        <v>52</v>
      </c>
      <c r="BA2" s="9" t="s">
        <v>86</v>
      </c>
      <c r="BB2" s="9" t="s">
        <v>45</v>
      </c>
      <c r="BC2" s="10"/>
      <c r="BD2" s="10">
        <v>12</v>
      </c>
      <c r="BE2" s="9" t="s">
        <v>41</v>
      </c>
      <c r="BF2" s="9" t="s">
        <v>86</v>
      </c>
      <c r="BG2" s="9" t="s">
        <v>50</v>
      </c>
      <c r="BH2" s="10"/>
      <c r="BI2" s="10">
        <v>13</v>
      </c>
      <c r="BJ2" s="9" t="s">
        <v>41</v>
      </c>
      <c r="BK2" s="9" t="s">
        <v>86</v>
      </c>
      <c r="BL2" s="9" t="s">
        <v>46</v>
      </c>
      <c r="BM2" s="10"/>
      <c r="BN2" s="10">
        <v>14</v>
      </c>
      <c r="BO2" s="9" t="s">
        <v>40</v>
      </c>
      <c r="BP2" s="9" t="s">
        <v>86</v>
      </c>
      <c r="BQ2" s="9" t="s">
        <v>37</v>
      </c>
      <c r="BR2" s="10"/>
      <c r="BS2" s="10">
        <v>15</v>
      </c>
      <c r="BT2" s="9" t="s">
        <v>2</v>
      </c>
      <c r="BU2" s="9" t="s">
        <v>86</v>
      </c>
      <c r="BV2" s="9" t="s">
        <v>34</v>
      </c>
      <c r="BW2" s="10"/>
      <c r="BX2" s="10">
        <v>16</v>
      </c>
      <c r="BY2" s="9" t="s">
        <v>48</v>
      </c>
      <c r="BZ2" s="9" t="s">
        <v>86</v>
      </c>
      <c r="CA2" s="9" t="s">
        <v>52</v>
      </c>
      <c r="CB2" s="10"/>
      <c r="CC2" s="10">
        <v>17</v>
      </c>
      <c r="CD2" s="9" t="s">
        <v>47</v>
      </c>
      <c r="CE2" s="9" t="s">
        <v>86</v>
      </c>
      <c r="CF2" s="9" t="s">
        <v>15</v>
      </c>
      <c r="CG2" s="10"/>
      <c r="CH2" s="10">
        <v>18</v>
      </c>
      <c r="CI2" s="9" t="s">
        <v>51</v>
      </c>
      <c r="CJ2" s="9" t="s">
        <v>86</v>
      </c>
      <c r="CK2" s="9" t="s">
        <v>67</v>
      </c>
    </row>
    <row r="3" spans="1:89" ht="15.75" customHeight="1" x14ac:dyDescent="0.15">
      <c r="A3" s="10">
        <v>1</v>
      </c>
      <c r="B3" s="9" t="s">
        <v>41</v>
      </c>
      <c r="C3" s="9" t="s">
        <v>86</v>
      </c>
      <c r="D3" s="9" t="s">
        <v>34</v>
      </c>
      <c r="E3" s="10"/>
      <c r="F3" s="10">
        <v>2</v>
      </c>
      <c r="G3" s="9" t="s">
        <v>65</v>
      </c>
      <c r="H3" s="9" t="s">
        <v>86</v>
      </c>
      <c r="I3" s="9" t="s">
        <v>64</v>
      </c>
      <c r="J3" s="10"/>
      <c r="K3" s="10">
        <v>3</v>
      </c>
      <c r="L3" s="9" t="s">
        <v>51</v>
      </c>
      <c r="M3" s="9" t="s">
        <v>86</v>
      </c>
      <c r="N3" s="9" t="s">
        <v>2</v>
      </c>
      <c r="O3" s="10"/>
      <c r="P3" s="10">
        <v>4</v>
      </c>
      <c r="Q3" s="9" t="s">
        <v>62</v>
      </c>
      <c r="R3" s="9" t="s">
        <v>86</v>
      </c>
      <c r="S3" s="9" t="s">
        <v>45</v>
      </c>
      <c r="T3" s="10"/>
      <c r="U3" s="10">
        <v>5</v>
      </c>
      <c r="V3" s="9" t="s">
        <v>12</v>
      </c>
      <c r="W3" s="9" t="s">
        <v>86</v>
      </c>
      <c r="X3" s="9" t="s">
        <v>48</v>
      </c>
      <c r="Y3" s="10"/>
      <c r="Z3" s="10">
        <v>6</v>
      </c>
      <c r="AA3" s="9" t="s">
        <v>12</v>
      </c>
      <c r="AB3" s="9" t="s">
        <v>86</v>
      </c>
      <c r="AC3" s="9" t="s">
        <v>52</v>
      </c>
      <c r="AD3" s="10"/>
      <c r="AE3" s="10">
        <v>7</v>
      </c>
      <c r="AF3" s="9" t="s">
        <v>63</v>
      </c>
      <c r="AG3" s="9" t="s">
        <v>86</v>
      </c>
      <c r="AH3" s="9" t="s">
        <v>59</v>
      </c>
      <c r="AI3" s="10"/>
      <c r="AJ3" s="10">
        <v>8</v>
      </c>
      <c r="AK3" s="9" t="s">
        <v>51</v>
      </c>
      <c r="AL3" s="9" t="s">
        <v>86</v>
      </c>
      <c r="AM3" s="9" t="s">
        <v>15</v>
      </c>
      <c r="AN3" s="10"/>
      <c r="AO3" s="10">
        <v>9</v>
      </c>
      <c r="AP3" s="9" t="s">
        <v>65</v>
      </c>
      <c r="AQ3" s="9" t="s">
        <v>86</v>
      </c>
      <c r="AR3" s="9" t="s">
        <v>47</v>
      </c>
      <c r="AS3" s="10"/>
      <c r="AT3" s="10">
        <v>10</v>
      </c>
      <c r="AU3" s="9" t="s">
        <v>22</v>
      </c>
      <c r="AV3" s="9" t="s">
        <v>86</v>
      </c>
      <c r="AW3" s="9" t="s">
        <v>40</v>
      </c>
      <c r="AX3" s="10"/>
      <c r="AY3" s="10">
        <v>11</v>
      </c>
      <c r="AZ3" s="9" t="s">
        <v>51</v>
      </c>
      <c r="BA3" s="9" t="s">
        <v>86</v>
      </c>
      <c r="BB3" s="9" t="s">
        <v>70</v>
      </c>
      <c r="BC3" s="10"/>
      <c r="BD3" s="10">
        <v>12</v>
      </c>
      <c r="BE3" s="9" t="s">
        <v>22</v>
      </c>
      <c r="BF3" s="9" t="s">
        <v>86</v>
      </c>
      <c r="BG3" s="9" t="s">
        <v>49</v>
      </c>
      <c r="BH3" s="10"/>
      <c r="BI3" s="10">
        <v>13</v>
      </c>
      <c r="BJ3" s="9" t="s">
        <v>65</v>
      </c>
      <c r="BK3" s="9" t="s">
        <v>86</v>
      </c>
      <c r="BL3" s="9" t="s">
        <v>22</v>
      </c>
      <c r="BM3" s="10"/>
      <c r="BN3" s="10">
        <v>14</v>
      </c>
      <c r="BO3" s="9" t="s">
        <v>64</v>
      </c>
      <c r="BP3" s="9" t="s">
        <v>86</v>
      </c>
      <c r="BQ3" s="9" t="s">
        <v>63</v>
      </c>
      <c r="BR3" s="10"/>
      <c r="BS3" s="10">
        <v>15</v>
      </c>
      <c r="BT3" s="9" t="s">
        <v>48</v>
      </c>
      <c r="BU3" s="9" t="s">
        <v>86</v>
      </c>
      <c r="BV3" s="9" t="s">
        <v>44</v>
      </c>
      <c r="BW3" s="10"/>
      <c r="BX3" s="10">
        <v>16</v>
      </c>
      <c r="BY3" s="9" t="s">
        <v>49</v>
      </c>
      <c r="BZ3" s="9" t="s">
        <v>86</v>
      </c>
      <c r="CA3" s="9" t="s">
        <v>50</v>
      </c>
      <c r="CB3" s="10"/>
      <c r="CC3" s="10">
        <v>17</v>
      </c>
      <c r="CD3" s="9" t="s">
        <v>65</v>
      </c>
      <c r="CE3" s="9" t="s">
        <v>86</v>
      </c>
      <c r="CF3" s="9" t="s">
        <v>63</v>
      </c>
      <c r="CG3" s="10"/>
      <c r="CH3" s="10">
        <v>18</v>
      </c>
      <c r="CI3" s="9" t="s">
        <v>64</v>
      </c>
      <c r="CJ3" s="9" t="s">
        <v>86</v>
      </c>
      <c r="CK3" s="9" t="s">
        <v>65</v>
      </c>
    </row>
    <row r="4" spans="1:89" ht="15.75" customHeight="1" x14ac:dyDescent="0.15">
      <c r="A4" s="10">
        <v>1</v>
      </c>
      <c r="B4" s="9" t="s">
        <v>64</v>
      </c>
      <c r="C4" s="9" t="s">
        <v>86</v>
      </c>
      <c r="D4" s="9" t="s">
        <v>49</v>
      </c>
      <c r="E4" s="10"/>
      <c r="F4" s="10">
        <v>2</v>
      </c>
      <c r="G4" s="9" t="s">
        <v>49</v>
      </c>
      <c r="H4" s="9" t="s">
        <v>86</v>
      </c>
      <c r="I4" s="9" t="s">
        <v>37</v>
      </c>
      <c r="J4" s="10"/>
      <c r="K4" s="10">
        <v>3</v>
      </c>
      <c r="L4" s="9" t="s">
        <v>68</v>
      </c>
      <c r="M4" s="9" t="s">
        <v>86</v>
      </c>
      <c r="N4" s="9" t="s">
        <v>64</v>
      </c>
      <c r="O4" s="10"/>
      <c r="P4" s="10">
        <v>4</v>
      </c>
      <c r="Q4" s="9" t="s">
        <v>51</v>
      </c>
      <c r="R4" s="9" t="s">
        <v>86</v>
      </c>
      <c r="S4" s="9" t="s">
        <v>40</v>
      </c>
      <c r="T4" s="10"/>
      <c r="U4" s="10">
        <v>5</v>
      </c>
      <c r="V4" s="9" t="s">
        <v>70</v>
      </c>
      <c r="W4" s="9" t="s">
        <v>86</v>
      </c>
      <c r="X4" s="9" t="s">
        <v>47</v>
      </c>
      <c r="Y4" s="10"/>
      <c r="Z4" s="10">
        <v>6</v>
      </c>
      <c r="AA4" s="9" t="s">
        <v>65</v>
      </c>
      <c r="AB4" s="9" t="s">
        <v>86</v>
      </c>
      <c r="AC4" s="9" t="s">
        <v>49</v>
      </c>
      <c r="AD4" s="10"/>
      <c r="AE4" s="10">
        <v>7</v>
      </c>
      <c r="AF4" s="9" t="s">
        <v>65</v>
      </c>
      <c r="AG4" s="9" t="s">
        <v>86</v>
      </c>
      <c r="AH4" s="9" t="s">
        <v>34</v>
      </c>
      <c r="AI4" s="10"/>
      <c r="AJ4" s="10">
        <v>8</v>
      </c>
      <c r="AK4" s="9" t="s">
        <v>47</v>
      </c>
      <c r="AL4" s="9" t="s">
        <v>86</v>
      </c>
      <c r="AM4" s="9" t="s">
        <v>66</v>
      </c>
      <c r="AN4" s="10"/>
      <c r="AO4" s="10">
        <v>9</v>
      </c>
      <c r="AP4" s="9" t="s">
        <v>64</v>
      </c>
      <c r="AQ4" s="9" t="s">
        <v>86</v>
      </c>
      <c r="AR4" s="9" t="s">
        <v>42</v>
      </c>
      <c r="AS4" s="10"/>
      <c r="AT4" s="10">
        <v>10</v>
      </c>
      <c r="AU4" s="9" t="s">
        <v>65</v>
      </c>
      <c r="AV4" s="9" t="s">
        <v>86</v>
      </c>
      <c r="AW4" s="9" t="s">
        <v>46</v>
      </c>
      <c r="AX4" s="10"/>
      <c r="AY4" s="10">
        <v>11</v>
      </c>
      <c r="AZ4" s="9" t="s">
        <v>64</v>
      </c>
      <c r="BA4" s="9" t="s">
        <v>86</v>
      </c>
      <c r="BB4" s="9" t="s">
        <v>15</v>
      </c>
      <c r="BC4" s="10"/>
      <c r="BD4" s="10">
        <v>12</v>
      </c>
      <c r="BE4" s="9" t="s">
        <v>43</v>
      </c>
      <c r="BF4" s="9" t="s">
        <v>86</v>
      </c>
      <c r="BG4" s="9" t="s">
        <v>48</v>
      </c>
      <c r="BH4" s="10"/>
      <c r="BI4" s="10">
        <v>13</v>
      </c>
      <c r="BJ4" s="9" t="s">
        <v>49</v>
      </c>
      <c r="BK4" s="9" t="s">
        <v>86</v>
      </c>
      <c r="BL4" s="9" t="s">
        <v>12</v>
      </c>
      <c r="BM4" s="10"/>
      <c r="BN4" s="10">
        <v>14</v>
      </c>
      <c r="BO4" s="9" t="s">
        <v>68</v>
      </c>
      <c r="BP4" s="9" t="s">
        <v>86</v>
      </c>
      <c r="BQ4" s="9" t="s">
        <v>65</v>
      </c>
      <c r="BR4" s="10"/>
      <c r="BS4" s="10">
        <v>15</v>
      </c>
      <c r="BT4" s="9" t="s">
        <v>51</v>
      </c>
      <c r="BU4" s="9" t="s">
        <v>86</v>
      </c>
      <c r="BV4" s="9" t="s">
        <v>49</v>
      </c>
      <c r="BW4" s="10"/>
      <c r="BX4" s="10">
        <v>16</v>
      </c>
      <c r="BY4" s="9" t="s">
        <v>42</v>
      </c>
      <c r="BZ4" s="9" t="s">
        <v>86</v>
      </c>
      <c r="CA4" s="9" t="s">
        <v>51</v>
      </c>
      <c r="CB4" s="10"/>
      <c r="CC4" s="10">
        <v>17</v>
      </c>
      <c r="CD4" s="9" t="s">
        <v>64</v>
      </c>
      <c r="CE4" s="9" t="s">
        <v>86</v>
      </c>
      <c r="CF4" s="9" t="s">
        <v>44</v>
      </c>
      <c r="CG4" s="10"/>
      <c r="CH4" s="10">
        <v>18</v>
      </c>
      <c r="CI4" s="9" t="s">
        <v>47</v>
      </c>
      <c r="CJ4" s="9" t="s">
        <v>86</v>
      </c>
      <c r="CK4" s="9" t="s">
        <v>68</v>
      </c>
    </row>
    <row r="5" spans="1:89" ht="15.75" customHeight="1" x14ac:dyDescent="0.15">
      <c r="A5" s="10">
        <v>1</v>
      </c>
      <c r="B5" s="9" t="s">
        <v>47</v>
      </c>
      <c r="C5" s="9" t="s">
        <v>86</v>
      </c>
      <c r="D5" s="9" t="s">
        <v>61</v>
      </c>
      <c r="E5" s="10"/>
      <c r="F5" s="10">
        <v>2</v>
      </c>
      <c r="G5" s="9" t="s">
        <v>52</v>
      </c>
      <c r="H5" s="9" t="s">
        <v>86</v>
      </c>
      <c r="I5" s="9" t="s">
        <v>47</v>
      </c>
      <c r="J5" s="10"/>
      <c r="K5" s="10">
        <v>3</v>
      </c>
      <c r="L5" s="9" t="s">
        <v>45</v>
      </c>
      <c r="M5" s="9" t="s">
        <v>86</v>
      </c>
      <c r="N5" s="9" t="s">
        <v>52</v>
      </c>
      <c r="O5" s="10"/>
      <c r="P5" s="10">
        <v>4</v>
      </c>
      <c r="Q5" s="9" t="s">
        <v>49</v>
      </c>
      <c r="R5" s="9" t="s">
        <v>86</v>
      </c>
      <c r="S5" s="9" t="s">
        <v>67</v>
      </c>
      <c r="T5" s="10"/>
      <c r="U5" s="10">
        <v>5</v>
      </c>
      <c r="V5" s="9" t="s">
        <v>63</v>
      </c>
      <c r="W5" s="9" t="s">
        <v>86</v>
      </c>
      <c r="X5" s="9" t="s">
        <v>37</v>
      </c>
      <c r="Y5" s="10"/>
      <c r="Z5" s="10">
        <v>6</v>
      </c>
      <c r="AA5" s="9" t="s">
        <v>68</v>
      </c>
      <c r="AB5" s="9" t="s">
        <v>86</v>
      </c>
      <c r="AC5" s="9" t="s">
        <v>15</v>
      </c>
      <c r="AD5" s="10"/>
      <c r="AE5" s="10">
        <v>7</v>
      </c>
      <c r="AF5" s="9" t="s">
        <v>64</v>
      </c>
      <c r="AG5" s="9" t="s">
        <v>86</v>
      </c>
      <c r="AH5" s="9" t="s">
        <v>61</v>
      </c>
      <c r="AI5" s="10"/>
      <c r="AJ5" s="10">
        <v>8</v>
      </c>
      <c r="AK5" s="9" t="s">
        <v>43</v>
      </c>
      <c r="AL5" s="9" t="s">
        <v>86</v>
      </c>
      <c r="AM5" s="9" t="s">
        <v>69</v>
      </c>
      <c r="AN5" s="10"/>
      <c r="AO5" s="10">
        <v>9</v>
      </c>
      <c r="AP5" s="9" t="s">
        <v>45</v>
      </c>
      <c r="AQ5" s="9" t="s">
        <v>86</v>
      </c>
      <c r="AR5" s="9" t="s">
        <v>43</v>
      </c>
      <c r="AS5" s="10"/>
      <c r="AT5" s="10">
        <v>10</v>
      </c>
      <c r="AU5" s="9" t="s">
        <v>68</v>
      </c>
      <c r="AV5" s="9" t="s">
        <v>86</v>
      </c>
      <c r="AW5" s="9" t="s">
        <v>52</v>
      </c>
      <c r="AX5" s="10"/>
      <c r="AY5" s="10">
        <v>11</v>
      </c>
      <c r="AZ5" s="9" t="s">
        <v>49</v>
      </c>
      <c r="BA5" s="9" t="s">
        <v>86</v>
      </c>
      <c r="BB5" s="9" t="s">
        <v>63</v>
      </c>
      <c r="BC5" s="10"/>
      <c r="BD5" s="10">
        <v>12</v>
      </c>
      <c r="BE5" s="9" t="s">
        <v>51</v>
      </c>
      <c r="BF5" s="9" t="s">
        <v>86</v>
      </c>
      <c r="BG5" s="9" t="s">
        <v>46</v>
      </c>
      <c r="BH5" s="10"/>
      <c r="BI5" s="10">
        <v>13</v>
      </c>
      <c r="BJ5" s="9" t="s">
        <v>68</v>
      </c>
      <c r="BK5" s="9" t="s">
        <v>86</v>
      </c>
      <c r="BL5" s="9" t="s">
        <v>47</v>
      </c>
      <c r="BM5" s="10"/>
      <c r="BN5" s="10">
        <v>14</v>
      </c>
      <c r="BO5" s="9" t="s">
        <v>22</v>
      </c>
      <c r="BP5" s="9" t="s">
        <v>86</v>
      </c>
      <c r="BQ5" s="9" t="s">
        <v>66</v>
      </c>
      <c r="BR5" s="10"/>
      <c r="BS5" s="10">
        <v>15</v>
      </c>
      <c r="BT5" s="9" t="s">
        <v>64</v>
      </c>
      <c r="BU5" s="9" t="s">
        <v>86</v>
      </c>
      <c r="BV5" s="9" t="s">
        <v>47</v>
      </c>
      <c r="BW5" s="10"/>
      <c r="BX5" s="10">
        <v>16</v>
      </c>
      <c r="BY5" s="9" t="s">
        <v>44</v>
      </c>
      <c r="BZ5" s="9" t="s">
        <v>86</v>
      </c>
      <c r="CA5" s="9" t="s">
        <v>41</v>
      </c>
      <c r="CB5" s="10"/>
      <c r="CC5" s="10">
        <v>17</v>
      </c>
      <c r="CD5" s="9" t="s">
        <v>68</v>
      </c>
      <c r="CE5" s="9" t="s">
        <v>86</v>
      </c>
      <c r="CF5" s="9" t="s">
        <v>45</v>
      </c>
      <c r="CG5" s="10"/>
      <c r="CH5" s="10">
        <v>18</v>
      </c>
      <c r="CI5" s="9" t="s">
        <v>45</v>
      </c>
      <c r="CJ5" s="9" t="s">
        <v>86</v>
      </c>
      <c r="CK5" s="9" t="s">
        <v>12</v>
      </c>
    </row>
    <row r="6" spans="1:89" ht="15.75" customHeight="1" x14ac:dyDescent="0.15">
      <c r="A6" s="10">
        <v>1</v>
      </c>
      <c r="B6" s="9" t="s">
        <v>45</v>
      </c>
      <c r="C6" s="9" t="s">
        <v>86</v>
      </c>
      <c r="D6" s="9" t="s">
        <v>15</v>
      </c>
      <c r="E6" s="10"/>
      <c r="F6" s="10">
        <v>2</v>
      </c>
      <c r="G6" s="9" t="s">
        <v>40</v>
      </c>
      <c r="H6" s="9" t="s">
        <v>86</v>
      </c>
      <c r="I6" s="9" t="s">
        <v>59</v>
      </c>
      <c r="J6" s="10"/>
      <c r="K6" s="10">
        <v>3</v>
      </c>
      <c r="L6" s="9" t="s">
        <v>22</v>
      </c>
      <c r="M6" s="9" t="s">
        <v>86</v>
      </c>
      <c r="N6" s="9" t="s">
        <v>67</v>
      </c>
      <c r="O6" s="10"/>
      <c r="P6" s="10">
        <v>4</v>
      </c>
      <c r="Q6" s="9" t="s">
        <v>47</v>
      </c>
      <c r="R6" s="9" t="s">
        <v>86</v>
      </c>
      <c r="S6" s="9" t="s">
        <v>12</v>
      </c>
      <c r="T6" s="10"/>
      <c r="U6" s="10">
        <v>5</v>
      </c>
      <c r="V6" s="9" t="s">
        <v>40</v>
      </c>
      <c r="W6" s="9" t="s">
        <v>86</v>
      </c>
      <c r="X6" s="9" t="s">
        <v>18</v>
      </c>
      <c r="Y6" s="10"/>
      <c r="Z6" s="10">
        <v>6</v>
      </c>
      <c r="AA6" s="9" t="s">
        <v>45</v>
      </c>
      <c r="AB6" s="9" t="s">
        <v>86</v>
      </c>
      <c r="AC6" s="9" t="s">
        <v>66</v>
      </c>
      <c r="AD6" s="10"/>
      <c r="AE6" s="10">
        <v>7</v>
      </c>
      <c r="AF6" s="9" t="s">
        <v>52</v>
      </c>
      <c r="AG6" s="9" t="s">
        <v>86</v>
      </c>
      <c r="AH6" s="9" t="s">
        <v>60</v>
      </c>
      <c r="AI6" s="10"/>
      <c r="AJ6" s="10">
        <v>8</v>
      </c>
      <c r="AK6" s="9" t="s">
        <v>22</v>
      </c>
      <c r="AL6" s="9" t="s">
        <v>86</v>
      </c>
      <c r="AM6" s="9" t="s">
        <v>37</v>
      </c>
      <c r="AN6" s="10"/>
      <c r="AO6" s="10">
        <v>9</v>
      </c>
      <c r="AP6" s="9" t="s">
        <v>46</v>
      </c>
      <c r="AQ6" s="9" t="s">
        <v>86</v>
      </c>
      <c r="AR6" s="9" t="s">
        <v>67</v>
      </c>
      <c r="AS6" s="10"/>
      <c r="AT6" s="10">
        <v>10</v>
      </c>
      <c r="AU6" s="9" t="s">
        <v>45</v>
      </c>
      <c r="AV6" s="9" t="s">
        <v>86</v>
      </c>
      <c r="AW6" s="9" t="s">
        <v>70</v>
      </c>
      <c r="AX6" s="10"/>
      <c r="AY6" s="10">
        <v>11</v>
      </c>
      <c r="AZ6" s="9" t="s">
        <v>43</v>
      </c>
      <c r="BA6" s="9" t="s">
        <v>86</v>
      </c>
      <c r="BB6" s="9" t="s">
        <v>66</v>
      </c>
      <c r="BC6" s="10"/>
      <c r="BD6" s="10">
        <v>12</v>
      </c>
      <c r="BE6" s="9" t="s">
        <v>59</v>
      </c>
      <c r="BF6" s="9" t="s">
        <v>86</v>
      </c>
      <c r="BG6" s="9" t="s">
        <v>42</v>
      </c>
      <c r="BH6" s="10"/>
      <c r="BI6" s="10">
        <v>13</v>
      </c>
      <c r="BJ6" s="9" t="s">
        <v>63</v>
      </c>
      <c r="BK6" s="9" t="s">
        <v>86</v>
      </c>
      <c r="BL6" s="9" t="s">
        <v>50</v>
      </c>
      <c r="BM6" s="10"/>
      <c r="BN6" s="10">
        <v>14</v>
      </c>
      <c r="BO6" s="9" t="s">
        <v>70</v>
      </c>
      <c r="BP6" s="9" t="s">
        <v>86</v>
      </c>
      <c r="BQ6" s="9" t="s">
        <v>49</v>
      </c>
      <c r="BR6" s="10"/>
      <c r="BS6" s="10">
        <v>15</v>
      </c>
      <c r="BT6" s="9" t="s">
        <v>50</v>
      </c>
      <c r="BU6" s="9" t="s">
        <v>86</v>
      </c>
      <c r="BV6" s="9" t="s">
        <v>70</v>
      </c>
      <c r="BW6" s="10"/>
      <c r="BX6" s="10">
        <v>16</v>
      </c>
      <c r="BY6" s="9" t="s">
        <v>65</v>
      </c>
      <c r="BZ6" s="9" t="s">
        <v>86</v>
      </c>
      <c r="CA6" s="9" t="s">
        <v>61</v>
      </c>
      <c r="CB6" s="10"/>
      <c r="CC6" s="10">
        <v>17</v>
      </c>
      <c r="CD6" s="9" t="s">
        <v>43</v>
      </c>
      <c r="CE6" s="9" t="s">
        <v>86</v>
      </c>
      <c r="CF6" s="9" t="s">
        <v>60</v>
      </c>
      <c r="CG6" s="10"/>
      <c r="CH6" s="10">
        <v>18</v>
      </c>
      <c r="CI6" s="9" t="s">
        <v>69</v>
      </c>
      <c r="CJ6" s="9" t="s">
        <v>86</v>
      </c>
      <c r="CK6" s="9" t="s">
        <v>34</v>
      </c>
    </row>
    <row r="7" spans="1:89" ht="15.75" customHeight="1" x14ac:dyDescent="0.15">
      <c r="A7" s="10">
        <v>1</v>
      </c>
      <c r="B7" s="9" t="s">
        <v>22</v>
      </c>
      <c r="C7" s="9" t="s">
        <v>86</v>
      </c>
      <c r="D7" s="9" t="s">
        <v>63</v>
      </c>
      <c r="E7" s="10"/>
      <c r="F7" s="10">
        <v>2</v>
      </c>
      <c r="G7" s="9" t="s">
        <v>67</v>
      </c>
      <c r="H7" s="9" t="s">
        <v>86</v>
      </c>
      <c r="I7" s="9" t="s">
        <v>50</v>
      </c>
      <c r="J7" s="10"/>
      <c r="K7" s="10">
        <v>3</v>
      </c>
      <c r="L7" s="9" t="s">
        <v>12</v>
      </c>
      <c r="M7" s="9" t="s">
        <v>86</v>
      </c>
      <c r="N7" s="9" t="s">
        <v>40</v>
      </c>
      <c r="O7" s="10"/>
      <c r="P7" s="10">
        <v>4</v>
      </c>
      <c r="Q7" s="9" t="s">
        <v>52</v>
      </c>
      <c r="R7" s="9" t="s">
        <v>86</v>
      </c>
      <c r="S7" s="9" t="s">
        <v>43</v>
      </c>
      <c r="T7" s="10"/>
      <c r="U7" s="10">
        <v>5</v>
      </c>
      <c r="V7" s="9" t="s">
        <v>67</v>
      </c>
      <c r="W7" s="9" t="s">
        <v>86</v>
      </c>
      <c r="X7" s="9" t="s">
        <v>68</v>
      </c>
      <c r="Y7" s="10"/>
      <c r="Z7" s="10">
        <v>6</v>
      </c>
      <c r="AA7" s="9" t="s">
        <v>40</v>
      </c>
      <c r="AB7" s="9" t="s">
        <v>86</v>
      </c>
      <c r="AC7" s="9" t="s">
        <v>67</v>
      </c>
      <c r="AD7" s="10"/>
      <c r="AE7" s="10">
        <v>7</v>
      </c>
      <c r="AF7" s="9" t="s">
        <v>37</v>
      </c>
      <c r="AG7" s="9" t="s">
        <v>86</v>
      </c>
      <c r="AH7" s="9" t="s">
        <v>45</v>
      </c>
      <c r="AI7" s="10"/>
      <c r="AJ7" s="10">
        <v>8</v>
      </c>
      <c r="AK7" s="9" t="s">
        <v>12</v>
      </c>
      <c r="AL7" s="9" t="s">
        <v>86</v>
      </c>
      <c r="AM7" s="9" t="s">
        <v>45</v>
      </c>
      <c r="AN7" s="10"/>
      <c r="AO7" s="10">
        <v>9</v>
      </c>
      <c r="AP7" s="9" t="s">
        <v>70</v>
      </c>
      <c r="AQ7" s="9" t="s">
        <v>86</v>
      </c>
      <c r="AR7" s="9" t="s">
        <v>22</v>
      </c>
      <c r="AS7" s="10"/>
      <c r="AT7" s="10">
        <v>10</v>
      </c>
      <c r="AU7" s="9" t="s">
        <v>50</v>
      </c>
      <c r="AV7" s="9" t="s">
        <v>86</v>
      </c>
      <c r="AW7" s="9" t="s">
        <v>37</v>
      </c>
      <c r="AX7" s="10"/>
      <c r="AY7" s="10">
        <v>11</v>
      </c>
      <c r="AZ7" s="9" t="s">
        <v>22</v>
      </c>
      <c r="BA7" s="9" t="s">
        <v>86</v>
      </c>
      <c r="BB7" s="9" t="s">
        <v>61</v>
      </c>
      <c r="BC7" s="10"/>
      <c r="BD7" s="10">
        <v>12</v>
      </c>
      <c r="BE7" s="9" t="s">
        <v>47</v>
      </c>
      <c r="BF7" s="9" t="s">
        <v>86</v>
      </c>
      <c r="BG7" s="9" t="s">
        <v>63</v>
      </c>
      <c r="BH7" s="10"/>
      <c r="BI7" s="10">
        <v>13</v>
      </c>
      <c r="BJ7" s="9" t="s">
        <v>60</v>
      </c>
      <c r="BK7" s="9" t="s">
        <v>86</v>
      </c>
      <c r="BL7" s="9" t="s">
        <v>34</v>
      </c>
      <c r="BM7" s="10"/>
      <c r="BN7" s="10">
        <v>14</v>
      </c>
      <c r="BO7" s="9" t="s">
        <v>67</v>
      </c>
      <c r="BP7" s="9" t="s">
        <v>86</v>
      </c>
      <c r="BQ7" s="9" t="s">
        <v>42</v>
      </c>
      <c r="BR7" s="10"/>
      <c r="BS7" s="10">
        <v>15</v>
      </c>
      <c r="BT7" s="9" t="s">
        <v>52</v>
      </c>
      <c r="BU7" s="9" t="s">
        <v>86</v>
      </c>
      <c r="BV7" s="9" t="s">
        <v>12</v>
      </c>
      <c r="BW7" s="10"/>
      <c r="BX7" s="10">
        <v>16</v>
      </c>
      <c r="BY7" s="9" t="s">
        <v>45</v>
      </c>
      <c r="BZ7" s="9" t="s">
        <v>86</v>
      </c>
      <c r="CA7" s="9" t="s">
        <v>47</v>
      </c>
      <c r="CB7" s="10"/>
      <c r="CC7" s="10">
        <v>17</v>
      </c>
      <c r="CD7" s="9" t="s">
        <v>12</v>
      </c>
      <c r="CE7" s="9" t="s">
        <v>86</v>
      </c>
      <c r="CF7" s="9" t="s">
        <v>62</v>
      </c>
      <c r="CG7" s="10"/>
      <c r="CH7" s="10">
        <v>18</v>
      </c>
      <c r="CI7" s="9" t="s">
        <v>42</v>
      </c>
      <c r="CJ7" s="9" t="s">
        <v>86</v>
      </c>
      <c r="CK7" s="9" t="s">
        <v>2</v>
      </c>
    </row>
    <row r="8" spans="1:89" ht="15.75" customHeight="1" x14ac:dyDescent="0.15">
      <c r="A8" s="10">
        <v>1</v>
      </c>
      <c r="B8" s="9" t="s">
        <v>52</v>
      </c>
      <c r="C8" s="9" t="s">
        <v>86</v>
      </c>
      <c r="D8" s="9" t="s">
        <v>51</v>
      </c>
      <c r="E8" s="10"/>
      <c r="F8" s="10">
        <v>2</v>
      </c>
      <c r="G8" s="9" t="s">
        <v>66</v>
      </c>
      <c r="H8" s="9" t="s">
        <v>86</v>
      </c>
      <c r="I8" s="9" t="s">
        <v>48</v>
      </c>
      <c r="J8" s="10"/>
      <c r="K8" s="10">
        <v>3</v>
      </c>
      <c r="L8" s="9" t="s">
        <v>70</v>
      </c>
      <c r="M8" s="9" t="s">
        <v>86</v>
      </c>
      <c r="N8" s="9" t="s">
        <v>46</v>
      </c>
      <c r="O8" s="10"/>
      <c r="P8" s="10">
        <v>4</v>
      </c>
      <c r="Q8" s="9" t="s">
        <v>60</v>
      </c>
      <c r="R8" s="9" t="s">
        <v>86</v>
      </c>
      <c r="S8" s="9" t="s">
        <v>69</v>
      </c>
      <c r="T8" s="10"/>
      <c r="U8" s="10">
        <v>5</v>
      </c>
      <c r="V8" s="9" t="s">
        <v>66</v>
      </c>
      <c r="W8" s="9" t="s">
        <v>86</v>
      </c>
      <c r="X8" s="9" t="s">
        <v>52</v>
      </c>
      <c r="Y8" s="10"/>
      <c r="Z8" s="10">
        <v>6</v>
      </c>
      <c r="AA8" s="9" t="s">
        <v>60</v>
      </c>
      <c r="AB8" s="9" t="s">
        <v>86</v>
      </c>
      <c r="AC8" s="9" t="s">
        <v>63</v>
      </c>
      <c r="AD8" s="10"/>
      <c r="AE8" s="10">
        <v>7</v>
      </c>
      <c r="AF8" s="9" t="s">
        <v>67</v>
      </c>
      <c r="AG8" s="9" t="s">
        <v>86</v>
      </c>
      <c r="AH8" s="9" t="s">
        <v>70</v>
      </c>
      <c r="AI8" s="10"/>
      <c r="AJ8" s="10">
        <v>8</v>
      </c>
      <c r="AK8" s="9" t="s">
        <v>67</v>
      </c>
      <c r="AL8" s="9" t="s">
        <v>86</v>
      </c>
      <c r="AM8" s="9" t="s">
        <v>18</v>
      </c>
      <c r="AN8" s="10"/>
      <c r="AO8" s="10">
        <v>9</v>
      </c>
      <c r="AP8" s="9" t="s">
        <v>63</v>
      </c>
      <c r="AQ8" s="9" t="s">
        <v>86</v>
      </c>
      <c r="AR8" s="9" t="s">
        <v>68</v>
      </c>
      <c r="AS8" s="10"/>
      <c r="AT8" s="10">
        <v>10</v>
      </c>
      <c r="AU8" s="9" t="s">
        <v>63</v>
      </c>
      <c r="AV8" s="9" t="s">
        <v>86</v>
      </c>
      <c r="AW8" s="9" t="s">
        <v>64</v>
      </c>
      <c r="AX8" s="10"/>
      <c r="AY8" s="10">
        <v>11</v>
      </c>
      <c r="AZ8" s="9" t="s">
        <v>46</v>
      </c>
      <c r="BA8" s="9" t="s">
        <v>86</v>
      </c>
      <c r="BB8" s="9" t="s">
        <v>69</v>
      </c>
      <c r="BC8" s="10"/>
      <c r="BD8" s="10">
        <v>12</v>
      </c>
      <c r="BE8" s="9" t="s">
        <v>68</v>
      </c>
      <c r="BF8" s="9" t="s">
        <v>86</v>
      </c>
      <c r="BG8" s="9" t="s">
        <v>18</v>
      </c>
      <c r="BH8" s="10"/>
      <c r="BI8" s="10">
        <v>13</v>
      </c>
      <c r="BJ8" s="9" t="s">
        <v>66</v>
      </c>
      <c r="BK8" s="9" t="s">
        <v>86</v>
      </c>
      <c r="BL8" s="9" t="s">
        <v>62</v>
      </c>
      <c r="BM8" s="10"/>
      <c r="BN8" s="10">
        <v>14</v>
      </c>
      <c r="BO8" s="9" t="s">
        <v>48</v>
      </c>
      <c r="BP8" s="9" t="s">
        <v>86</v>
      </c>
      <c r="BQ8" s="9" t="s">
        <v>45</v>
      </c>
      <c r="BR8" s="10"/>
      <c r="BS8" s="10">
        <v>15</v>
      </c>
      <c r="BT8" s="9" t="s">
        <v>60</v>
      </c>
      <c r="BU8" s="9" t="s">
        <v>86</v>
      </c>
      <c r="BV8" s="9" t="s">
        <v>68</v>
      </c>
      <c r="BW8" s="10"/>
      <c r="BX8" s="10">
        <v>16</v>
      </c>
      <c r="BY8" s="9" t="s">
        <v>70</v>
      </c>
      <c r="BZ8" s="9" t="s">
        <v>86</v>
      </c>
      <c r="CA8" s="9" t="s">
        <v>2</v>
      </c>
      <c r="CB8" s="10"/>
      <c r="CC8" s="10">
        <v>17</v>
      </c>
      <c r="CD8" s="9" t="s">
        <v>70</v>
      </c>
      <c r="CE8" s="9" t="s">
        <v>86</v>
      </c>
      <c r="CF8" s="9" t="s">
        <v>51</v>
      </c>
      <c r="CG8" s="10"/>
      <c r="CH8" s="10">
        <v>18</v>
      </c>
      <c r="CI8" s="9" t="s">
        <v>50</v>
      </c>
      <c r="CJ8" s="9" t="s">
        <v>86</v>
      </c>
      <c r="CK8" s="9" t="s">
        <v>22</v>
      </c>
    </row>
    <row r="9" spans="1:89" ht="15.75" customHeight="1" x14ac:dyDescent="0.15">
      <c r="A9" s="10">
        <v>1</v>
      </c>
      <c r="B9" s="9" t="s">
        <v>12</v>
      </c>
      <c r="C9" s="9" t="s">
        <v>86</v>
      </c>
      <c r="D9" s="9" t="s">
        <v>68</v>
      </c>
      <c r="E9" s="10"/>
      <c r="F9" s="10">
        <v>2</v>
      </c>
      <c r="G9" s="9" t="s">
        <v>15</v>
      </c>
      <c r="H9" s="9" t="s">
        <v>86</v>
      </c>
      <c r="I9" s="9" t="s">
        <v>63</v>
      </c>
      <c r="J9" s="10"/>
      <c r="K9" s="10">
        <v>3</v>
      </c>
      <c r="L9" s="9" t="s">
        <v>60</v>
      </c>
      <c r="M9" s="9" t="s">
        <v>86</v>
      </c>
      <c r="N9" s="9" t="s">
        <v>66</v>
      </c>
      <c r="O9" s="10"/>
      <c r="P9" s="10">
        <v>4</v>
      </c>
      <c r="Q9" s="9" t="s">
        <v>48</v>
      </c>
      <c r="R9" s="9" t="s">
        <v>86</v>
      </c>
      <c r="S9" s="9" t="s">
        <v>41</v>
      </c>
      <c r="T9" s="10"/>
      <c r="U9" s="10">
        <v>5</v>
      </c>
      <c r="V9" s="9" t="s">
        <v>59</v>
      </c>
      <c r="W9" s="9" t="s">
        <v>86</v>
      </c>
      <c r="X9" s="9" t="s">
        <v>45</v>
      </c>
      <c r="Y9" s="10"/>
      <c r="Z9" s="10">
        <v>6</v>
      </c>
      <c r="AA9" s="9" t="s">
        <v>48</v>
      </c>
      <c r="AB9" s="9" t="s">
        <v>86</v>
      </c>
      <c r="AC9" s="9" t="s">
        <v>64</v>
      </c>
      <c r="AD9" s="10"/>
      <c r="AE9" s="10">
        <v>7</v>
      </c>
      <c r="AF9" s="9" t="s">
        <v>66</v>
      </c>
      <c r="AG9" s="9" t="s">
        <v>86</v>
      </c>
      <c r="AH9" s="9" t="s">
        <v>68</v>
      </c>
      <c r="AI9" s="10"/>
      <c r="AJ9" s="10">
        <v>8</v>
      </c>
      <c r="AK9" s="9" t="s">
        <v>59</v>
      </c>
      <c r="AL9" s="9" t="s">
        <v>86</v>
      </c>
      <c r="AM9" s="9" t="s">
        <v>68</v>
      </c>
      <c r="AN9" s="10"/>
      <c r="AO9" s="10">
        <v>9</v>
      </c>
      <c r="AP9" s="9" t="s">
        <v>48</v>
      </c>
      <c r="AQ9" s="9" t="s">
        <v>86</v>
      </c>
      <c r="AR9" s="9" t="s">
        <v>60</v>
      </c>
      <c r="AS9" s="10"/>
      <c r="AT9" s="10">
        <v>10</v>
      </c>
      <c r="AU9" s="9" t="s">
        <v>67</v>
      </c>
      <c r="AV9" s="9" t="s">
        <v>86</v>
      </c>
      <c r="AW9" s="9" t="s">
        <v>51</v>
      </c>
      <c r="AX9" s="10"/>
      <c r="AY9" s="10">
        <v>11</v>
      </c>
      <c r="AZ9" s="9" t="s">
        <v>60</v>
      </c>
      <c r="BA9" s="9" t="s">
        <v>86</v>
      </c>
      <c r="BB9" s="9" t="s">
        <v>12</v>
      </c>
      <c r="BC9" s="10"/>
      <c r="BD9" s="10">
        <v>12</v>
      </c>
      <c r="BE9" s="9" t="s">
        <v>45</v>
      </c>
      <c r="BF9" s="9" t="s">
        <v>86</v>
      </c>
      <c r="BG9" s="9" t="s">
        <v>60</v>
      </c>
      <c r="BH9" s="10"/>
      <c r="BI9" s="10">
        <v>13</v>
      </c>
      <c r="BJ9" s="9" t="s">
        <v>61</v>
      </c>
      <c r="BK9" s="9" t="s">
        <v>86</v>
      </c>
      <c r="BL9" s="9" t="s">
        <v>2</v>
      </c>
      <c r="BM9" s="10"/>
      <c r="BN9" s="10">
        <v>14</v>
      </c>
      <c r="BO9" s="9" t="s">
        <v>15</v>
      </c>
      <c r="BP9" s="9" t="s">
        <v>86</v>
      </c>
      <c r="BQ9" s="9" t="s">
        <v>61</v>
      </c>
      <c r="BR9" s="10"/>
      <c r="BS9" s="10">
        <v>15</v>
      </c>
      <c r="BT9" s="9" t="s">
        <v>66</v>
      </c>
      <c r="BU9" s="9" t="s">
        <v>86</v>
      </c>
      <c r="BV9" s="9" t="s">
        <v>45</v>
      </c>
      <c r="BW9" s="10"/>
      <c r="BX9" s="10">
        <v>16</v>
      </c>
      <c r="BY9" s="9" t="s">
        <v>37</v>
      </c>
      <c r="BZ9" s="9" t="s">
        <v>86</v>
      </c>
      <c r="CA9" s="9" t="s">
        <v>62</v>
      </c>
      <c r="CB9" s="10"/>
      <c r="CC9" s="10">
        <v>17</v>
      </c>
      <c r="CD9" s="9" t="s">
        <v>40</v>
      </c>
      <c r="CE9" s="9" t="s">
        <v>86</v>
      </c>
      <c r="CF9" s="9" t="s">
        <v>42</v>
      </c>
      <c r="CG9" s="10"/>
      <c r="CH9" s="10">
        <v>18</v>
      </c>
      <c r="CI9" s="9" t="s">
        <v>52</v>
      </c>
      <c r="CJ9" s="9" t="s">
        <v>86</v>
      </c>
      <c r="CK9" s="9" t="s">
        <v>66</v>
      </c>
    </row>
    <row r="10" spans="1:89" ht="15.75" customHeight="1" x14ac:dyDescent="0.15">
      <c r="A10" s="10">
        <v>1</v>
      </c>
      <c r="B10" s="9" t="s">
        <v>66</v>
      </c>
      <c r="C10" s="9" t="s">
        <v>86</v>
      </c>
      <c r="D10" s="9" t="s">
        <v>67</v>
      </c>
      <c r="E10" s="10"/>
      <c r="F10" s="10">
        <v>2</v>
      </c>
      <c r="G10" s="9" t="s">
        <v>61</v>
      </c>
      <c r="H10" s="9" t="s">
        <v>86</v>
      </c>
      <c r="I10" s="9" t="s">
        <v>68</v>
      </c>
      <c r="J10" s="10"/>
      <c r="K10" s="10">
        <v>3</v>
      </c>
      <c r="L10" s="9" t="s">
        <v>59</v>
      </c>
      <c r="M10" s="9" t="s">
        <v>86</v>
      </c>
      <c r="N10" s="9" t="s">
        <v>47</v>
      </c>
      <c r="O10" s="10"/>
      <c r="P10" s="10">
        <v>4</v>
      </c>
      <c r="Q10" s="9" t="s">
        <v>15</v>
      </c>
      <c r="R10" s="9" t="s">
        <v>86</v>
      </c>
      <c r="S10" s="9" t="s">
        <v>66</v>
      </c>
      <c r="T10" s="10"/>
      <c r="U10" s="10">
        <v>5</v>
      </c>
      <c r="V10" s="9" t="s">
        <v>62</v>
      </c>
      <c r="W10" s="9" t="s">
        <v>86</v>
      </c>
      <c r="X10" s="9" t="s">
        <v>60</v>
      </c>
      <c r="Y10" s="10"/>
      <c r="Z10" s="10">
        <v>6</v>
      </c>
      <c r="AA10" s="9" t="s">
        <v>61</v>
      </c>
      <c r="AB10" s="9" t="s">
        <v>86</v>
      </c>
      <c r="AC10" s="9" t="s">
        <v>59</v>
      </c>
      <c r="AD10" s="10"/>
      <c r="AE10" s="10">
        <v>7</v>
      </c>
      <c r="AF10" s="9" t="s">
        <v>15</v>
      </c>
      <c r="AG10" s="9" t="s">
        <v>86</v>
      </c>
      <c r="AH10" s="9" t="s">
        <v>47</v>
      </c>
      <c r="AI10" s="10"/>
      <c r="AJ10" s="10">
        <v>8</v>
      </c>
      <c r="AK10" s="9" t="s">
        <v>61</v>
      </c>
      <c r="AL10" s="9" t="s">
        <v>86</v>
      </c>
      <c r="AM10" s="9" t="s">
        <v>65</v>
      </c>
      <c r="AN10" s="10"/>
      <c r="AO10" s="10">
        <v>9</v>
      </c>
      <c r="AP10" s="9" t="s">
        <v>62</v>
      </c>
      <c r="AQ10" s="9" t="s">
        <v>86</v>
      </c>
      <c r="AR10" s="9" t="s">
        <v>41</v>
      </c>
      <c r="AS10" s="10"/>
      <c r="AT10" s="10">
        <v>10</v>
      </c>
      <c r="AU10" s="9" t="s">
        <v>66</v>
      </c>
      <c r="AV10" s="9" t="s">
        <v>86</v>
      </c>
      <c r="AW10" s="9" t="s">
        <v>12</v>
      </c>
      <c r="AX10" s="10"/>
      <c r="AY10" s="10">
        <v>11</v>
      </c>
      <c r="AZ10" s="9" t="s">
        <v>2</v>
      </c>
      <c r="BA10" s="9" t="s">
        <v>86</v>
      </c>
      <c r="BB10" s="9" t="s">
        <v>67</v>
      </c>
      <c r="BC10" s="10"/>
      <c r="BD10" s="10">
        <v>12</v>
      </c>
      <c r="BE10" s="9" t="s">
        <v>52</v>
      </c>
      <c r="BF10" s="9" t="s">
        <v>86</v>
      </c>
      <c r="BG10" s="9" t="s">
        <v>15</v>
      </c>
      <c r="BH10" s="10"/>
      <c r="BI10" s="10">
        <v>13</v>
      </c>
      <c r="BJ10" s="9" t="s">
        <v>69</v>
      </c>
      <c r="BK10" s="9" t="s">
        <v>86</v>
      </c>
      <c r="BL10" s="9" t="s">
        <v>48</v>
      </c>
      <c r="BM10" s="10"/>
      <c r="BN10" s="10">
        <v>14</v>
      </c>
      <c r="BO10" s="9" t="s">
        <v>62</v>
      </c>
      <c r="BP10" s="9" t="s">
        <v>86</v>
      </c>
      <c r="BQ10" s="9" t="s">
        <v>52</v>
      </c>
      <c r="BR10" s="10"/>
      <c r="BS10" s="10">
        <v>15</v>
      </c>
      <c r="BT10" s="9" t="s">
        <v>59</v>
      </c>
      <c r="BU10" s="9" t="s">
        <v>86</v>
      </c>
      <c r="BV10" s="9" t="s">
        <v>15</v>
      </c>
      <c r="BW10" s="10"/>
      <c r="BX10" s="10">
        <v>16</v>
      </c>
      <c r="BY10" s="9" t="s">
        <v>63</v>
      </c>
      <c r="BZ10" s="9" t="s">
        <v>86</v>
      </c>
      <c r="CA10" s="9" t="s">
        <v>69</v>
      </c>
      <c r="CB10" s="10"/>
      <c r="CC10" s="10">
        <v>17</v>
      </c>
      <c r="CD10" s="9" t="s">
        <v>67</v>
      </c>
      <c r="CE10" s="9" t="s">
        <v>86</v>
      </c>
      <c r="CF10" s="9" t="s">
        <v>37</v>
      </c>
      <c r="CG10" s="10"/>
      <c r="CH10" s="10">
        <v>18</v>
      </c>
      <c r="CI10" s="9" t="s">
        <v>46</v>
      </c>
      <c r="CJ10" s="9" t="s">
        <v>86</v>
      </c>
      <c r="CK10" s="9" t="s">
        <v>18</v>
      </c>
    </row>
    <row r="11" spans="1:89" ht="15.75" customHeight="1" x14ac:dyDescent="0.15">
      <c r="A11" s="10">
        <v>1</v>
      </c>
      <c r="B11" s="9" t="s">
        <v>59</v>
      </c>
      <c r="C11" s="9" t="s">
        <v>86</v>
      </c>
      <c r="D11" s="9" t="s">
        <v>65</v>
      </c>
      <c r="E11" s="10"/>
      <c r="F11" s="10">
        <v>2</v>
      </c>
      <c r="G11" s="9" t="s">
        <v>42</v>
      </c>
      <c r="H11" s="9" t="s">
        <v>86</v>
      </c>
      <c r="I11" s="9" t="s">
        <v>12</v>
      </c>
      <c r="J11" s="10"/>
      <c r="K11" s="10">
        <v>3</v>
      </c>
      <c r="L11" s="9" t="s">
        <v>62</v>
      </c>
      <c r="M11" s="9" t="s">
        <v>86</v>
      </c>
      <c r="N11" s="9" t="s">
        <v>44</v>
      </c>
      <c r="O11" s="10"/>
      <c r="P11" s="10">
        <v>4</v>
      </c>
      <c r="Q11" s="9" t="s">
        <v>61</v>
      </c>
      <c r="R11" s="9" t="s">
        <v>86</v>
      </c>
      <c r="S11" s="9" t="s">
        <v>50</v>
      </c>
      <c r="T11" s="10"/>
      <c r="U11" s="10">
        <v>5</v>
      </c>
      <c r="V11" s="9" t="s">
        <v>2</v>
      </c>
      <c r="W11" s="9" t="s">
        <v>86</v>
      </c>
      <c r="X11" s="9" t="s">
        <v>42</v>
      </c>
      <c r="Y11" s="10"/>
      <c r="Z11" s="10">
        <v>6</v>
      </c>
      <c r="AA11" s="9" t="s">
        <v>41</v>
      </c>
      <c r="AB11" s="9" t="s">
        <v>86</v>
      </c>
      <c r="AC11" s="9" t="s">
        <v>69</v>
      </c>
      <c r="AD11" s="10"/>
      <c r="AE11" s="10">
        <v>7</v>
      </c>
      <c r="AF11" s="9" t="s">
        <v>69</v>
      </c>
      <c r="AG11" s="9" t="s">
        <v>86</v>
      </c>
      <c r="AH11" s="9" t="s">
        <v>42</v>
      </c>
      <c r="AI11" s="10"/>
      <c r="AJ11" s="10">
        <v>8</v>
      </c>
      <c r="AK11" s="9" t="s">
        <v>41</v>
      </c>
      <c r="AL11" s="9" t="s">
        <v>86</v>
      </c>
      <c r="AM11" s="9" t="s">
        <v>2</v>
      </c>
      <c r="AN11" s="10"/>
      <c r="AO11" s="10">
        <v>9</v>
      </c>
      <c r="AP11" s="9" t="s">
        <v>2</v>
      </c>
      <c r="AQ11" s="9" t="s">
        <v>86</v>
      </c>
      <c r="AR11" s="9" t="s">
        <v>52</v>
      </c>
      <c r="AS11" s="10"/>
      <c r="AT11" s="10">
        <v>10</v>
      </c>
      <c r="AU11" s="9" t="s">
        <v>69</v>
      </c>
      <c r="AV11" s="9" t="s">
        <v>86</v>
      </c>
      <c r="AW11" s="9" t="s">
        <v>41</v>
      </c>
      <c r="AX11" s="10"/>
      <c r="AY11" s="10">
        <v>11</v>
      </c>
      <c r="AZ11" s="9" t="s">
        <v>42</v>
      </c>
      <c r="BA11" s="9" t="s">
        <v>86</v>
      </c>
      <c r="BB11" s="9" t="s">
        <v>18</v>
      </c>
      <c r="BC11" s="10"/>
      <c r="BD11" s="10">
        <v>12</v>
      </c>
      <c r="BE11" s="9" t="s">
        <v>70</v>
      </c>
      <c r="BF11" s="9" t="s">
        <v>86</v>
      </c>
      <c r="BG11" s="9" t="s">
        <v>67</v>
      </c>
      <c r="BH11" s="10"/>
      <c r="BI11" s="10">
        <v>13</v>
      </c>
      <c r="BJ11" s="9" t="s">
        <v>42</v>
      </c>
      <c r="BK11" s="9" t="s">
        <v>86</v>
      </c>
      <c r="BL11" s="9" t="s">
        <v>70</v>
      </c>
      <c r="BM11" s="10"/>
      <c r="BN11" s="10">
        <v>14</v>
      </c>
      <c r="BO11" s="9" t="s">
        <v>18</v>
      </c>
      <c r="BP11" s="9" t="s">
        <v>86</v>
      </c>
      <c r="BQ11" s="9" t="s">
        <v>2</v>
      </c>
      <c r="BR11" s="10"/>
      <c r="BS11" s="10">
        <v>15</v>
      </c>
      <c r="BT11" s="9" t="s">
        <v>61</v>
      </c>
      <c r="BU11" s="9" t="s">
        <v>86</v>
      </c>
      <c r="BV11" s="9" t="s">
        <v>63</v>
      </c>
      <c r="BW11" s="10"/>
      <c r="BX11" s="10">
        <v>16</v>
      </c>
      <c r="BY11" s="9" t="s">
        <v>67</v>
      </c>
      <c r="BZ11" s="9" t="s">
        <v>86</v>
      </c>
      <c r="CA11" s="9" t="s">
        <v>40</v>
      </c>
      <c r="CB11" s="10"/>
      <c r="CC11" s="10">
        <v>17</v>
      </c>
      <c r="CD11" s="9" t="s">
        <v>66</v>
      </c>
      <c r="CE11" s="9" t="s">
        <v>86</v>
      </c>
      <c r="CF11" s="9" t="s">
        <v>59</v>
      </c>
      <c r="CG11" s="10"/>
      <c r="CH11" s="10">
        <v>18</v>
      </c>
      <c r="CI11" s="9" t="s">
        <v>37</v>
      </c>
      <c r="CJ11" s="9" t="s">
        <v>86</v>
      </c>
      <c r="CK11" s="9" t="s">
        <v>49</v>
      </c>
    </row>
    <row r="12" spans="1:89" ht="15.75" customHeight="1" x14ac:dyDescent="0.15">
      <c r="A12" s="10">
        <v>1</v>
      </c>
      <c r="B12" s="9" t="s">
        <v>37</v>
      </c>
      <c r="C12" s="9" t="s">
        <v>86</v>
      </c>
      <c r="D12" s="9" t="s">
        <v>50</v>
      </c>
      <c r="E12" s="10"/>
      <c r="F12" s="10">
        <v>2</v>
      </c>
      <c r="G12" s="9" t="s">
        <v>2</v>
      </c>
      <c r="H12" s="9" t="s">
        <v>86</v>
      </c>
      <c r="I12" s="9" t="s">
        <v>18</v>
      </c>
      <c r="J12" s="10"/>
      <c r="K12" s="10">
        <v>3</v>
      </c>
      <c r="L12" s="9" t="s">
        <v>34</v>
      </c>
      <c r="M12" s="9" t="s">
        <v>86</v>
      </c>
      <c r="N12" s="9" t="s">
        <v>69</v>
      </c>
      <c r="O12" s="10"/>
      <c r="P12" s="10">
        <v>4</v>
      </c>
      <c r="Q12" s="9" t="s">
        <v>37</v>
      </c>
      <c r="R12" s="9" t="s">
        <v>86</v>
      </c>
      <c r="S12" s="9" t="s">
        <v>70</v>
      </c>
      <c r="T12" s="10"/>
      <c r="U12" s="10">
        <v>5</v>
      </c>
      <c r="V12" s="9" t="s">
        <v>69</v>
      </c>
      <c r="W12" s="9" t="s">
        <v>86</v>
      </c>
      <c r="X12" s="9" t="s">
        <v>22</v>
      </c>
      <c r="Y12" s="10"/>
      <c r="Z12" s="10">
        <v>6</v>
      </c>
      <c r="AA12" s="9" t="s">
        <v>46</v>
      </c>
      <c r="AB12" s="9" t="s">
        <v>86</v>
      </c>
      <c r="AC12" s="9" t="s">
        <v>2</v>
      </c>
      <c r="AD12" s="10"/>
      <c r="AE12" s="10">
        <v>7</v>
      </c>
      <c r="AF12" s="9" t="s">
        <v>22</v>
      </c>
      <c r="AG12" s="9" t="s">
        <v>86</v>
      </c>
      <c r="AH12" s="9" t="s">
        <v>50</v>
      </c>
      <c r="AI12" s="10"/>
      <c r="AJ12" s="10">
        <v>8</v>
      </c>
      <c r="AK12" s="9" t="s">
        <v>42</v>
      </c>
      <c r="AL12" s="9" t="s">
        <v>86</v>
      </c>
      <c r="AM12" s="9" t="s">
        <v>46</v>
      </c>
      <c r="AN12" s="10"/>
      <c r="AO12" s="10">
        <v>9</v>
      </c>
      <c r="AP12" s="9" t="s">
        <v>34</v>
      </c>
      <c r="AQ12" s="9" t="s">
        <v>86</v>
      </c>
      <c r="AR12" s="9" t="s">
        <v>18</v>
      </c>
      <c r="AS12" s="10"/>
      <c r="AT12" s="10">
        <v>10</v>
      </c>
      <c r="AU12" s="9" t="s">
        <v>18</v>
      </c>
      <c r="AV12" s="9" t="s">
        <v>86</v>
      </c>
      <c r="AW12" s="9" t="s">
        <v>44</v>
      </c>
      <c r="AX12" s="10"/>
      <c r="AY12" s="10">
        <v>11</v>
      </c>
      <c r="AZ12" s="9" t="s">
        <v>48</v>
      </c>
      <c r="BA12" s="9" t="s">
        <v>86</v>
      </c>
      <c r="BB12" s="9" t="s">
        <v>59</v>
      </c>
      <c r="BC12" s="10"/>
      <c r="BD12" s="10">
        <v>12</v>
      </c>
      <c r="BE12" s="9" t="s">
        <v>37</v>
      </c>
      <c r="BF12" s="9" t="s">
        <v>86</v>
      </c>
      <c r="BG12" s="9" t="s">
        <v>65</v>
      </c>
      <c r="BH12" s="10"/>
      <c r="BI12" s="10">
        <v>13</v>
      </c>
      <c r="BJ12" s="9" t="s">
        <v>37</v>
      </c>
      <c r="BK12" s="9" t="s">
        <v>86</v>
      </c>
      <c r="BL12" s="9" t="s">
        <v>64</v>
      </c>
      <c r="BM12" s="10"/>
      <c r="BN12" s="10">
        <v>14</v>
      </c>
      <c r="BO12" s="9" t="s">
        <v>47</v>
      </c>
      <c r="BP12" s="9" t="s">
        <v>86</v>
      </c>
      <c r="BQ12" s="9" t="s">
        <v>46</v>
      </c>
      <c r="BR12" s="10"/>
      <c r="BS12" s="10">
        <v>15</v>
      </c>
      <c r="BT12" s="9" t="s">
        <v>62</v>
      </c>
      <c r="BU12" s="9" t="s">
        <v>86</v>
      </c>
      <c r="BV12" s="9" t="s">
        <v>65</v>
      </c>
      <c r="BW12" s="10"/>
      <c r="BX12" s="10">
        <v>16</v>
      </c>
      <c r="BY12" s="9" t="s">
        <v>59</v>
      </c>
      <c r="BZ12" s="9" t="s">
        <v>86</v>
      </c>
      <c r="CA12" s="9" t="s">
        <v>64</v>
      </c>
      <c r="CB12" s="10"/>
      <c r="CC12" s="10">
        <v>17</v>
      </c>
      <c r="CD12" s="9" t="s">
        <v>2</v>
      </c>
      <c r="CE12" s="9" t="s">
        <v>86</v>
      </c>
      <c r="CF12" s="9" t="s">
        <v>46</v>
      </c>
      <c r="CG12" s="10"/>
      <c r="CH12" s="10">
        <v>18</v>
      </c>
      <c r="CI12" s="9" t="s">
        <v>63</v>
      </c>
      <c r="CJ12" s="9" t="s">
        <v>86</v>
      </c>
      <c r="CK12" s="9" t="s">
        <v>61</v>
      </c>
    </row>
    <row r="13" spans="1:89" ht="15.75" customHeight="1" x14ac:dyDescent="0.15">
      <c r="A13" s="10">
        <v>1</v>
      </c>
      <c r="B13" s="9" t="s">
        <v>48</v>
      </c>
      <c r="C13" s="9" t="s">
        <v>86</v>
      </c>
      <c r="D13" s="9" t="s">
        <v>62</v>
      </c>
      <c r="E13" s="10"/>
      <c r="F13" s="10">
        <v>2</v>
      </c>
      <c r="G13" s="9" t="s">
        <v>69</v>
      </c>
      <c r="H13" s="9" t="s">
        <v>86</v>
      </c>
      <c r="I13" s="9" t="s">
        <v>44</v>
      </c>
      <c r="J13" s="10"/>
      <c r="K13" s="10">
        <v>3</v>
      </c>
      <c r="L13" s="9" t="s">
        <v>61</v>
      </c>
      <c r="M13" s="9" t="s">
        <v>86</v>
      </c>
      <c r="N13" s="9" t="s">
        <v>37</v>
      </c>
      <c r="O13" s="10"/>
      <c r="P13" s="10">
        <v>4</v>
      </c>
      <c r="Q13" s="9" t="s">
        <v>18</v>
      </c>
      <c r="R13" s="9" t="s">
        <v>86</v>
      </c>
      <c r="S13" s="9" t="s">
        <v>46</v>
      </c>
      <c r="T13" s="10"/>
      <c r="U13" s="10">
        <v>5</v>
      </c>
      <c r="V13" s="9" t="s">
        <v>50</v>
      </c>
      <c r="W13" s="9" t="s">
        <v>86</v>
      </c>
      <c r="X13" s="9" t="s">
        <v>49</v>
      </c>
      <c r="Y13" s="10"/>
      <c r="Z13" s="10">
        <v>6</v>
      </c>
      <c r="AA13" s="9" t="s">
        <v>18</v>
      </c>
      <c r="AB13" s="9" t="s">
        <v>86</v>
      </c>
      <c r="AC13" s="9" t="s">
        <v>51</v>
      </c>
      <c r="AD13" s="10"/>
      <c r="AE13" s="10">
        <v>7</v>
      </c>
      <c r="AF13" s="9" t="s">
        <v>18</v>
      </c>
      <c r="AG13" s="9" t="s">
        <v>86</v>
      </c>
      <c r="AH13" s="9" t="s">
        <v>41</v>
      </c>
      <c r="AI13" s="10"/>
      <c r="AJ13" s="10">
        <v>8</v>
      </c>
      <c r="AK13" s="9" t="s">
        <v>70</v>
      </c>
      <c r="AL13" s="9" t="s">
        <v>86</v>
      </c>
      <c r="AM13" s="9" t="s">
        <v>40</v>
      </c>
      <c r="AN13" s="10"/>
      <c r="AO13" s="10">
        <v>9</v>
      </c>
      <c r="AP13" s="9" t="s">
        <v>40</v>
      </c>
      <c r="AQ13" s="9" t="s">
        <v>86</v>
      </c>
      <c r="AR13" s="9" t="s">
        <v>50</v>
      </c>
      <c r="AS13" s="10"/>
      <c r="AT13" s="10">
        <v>10</v>
      </c>
      <c r="AU13" s="9" t="s">
        <v>43</v>
      </c>
      <c r="AV13" s="9" t="s">
        <v>86</v>
      </c>
      <c r="AW13" s="9" t="s">
        <v>34</v>
      </c>
      <c r="AX13" s="10"/>
      <c r="AY13" s="10">
        <v>11</v>
      </c>
      <c r="AZ13" s="9" t="s">
        <v>34</v>
      </c>
      <c r="BA13" s="9" t="s">
        <v>86</v>
      </c>
      <c r="BB13" s="9" t="s">
        <v>37</v>
      </c>
      <c r="BC13" s="10"/>
      <c r="BD13" s="10">
        <v>12</v>
      </c>
      <c r="BE13" s="9" t="s">
        <v>12</v>
      </c>
      <c r="BF13" s="9" t="s">
        <v>86</v>
      </c>
      <c r="BG13" s="9" t="s">
        <v>66</v>
      </c>
      <c r="BH13" s="10"/>
      <c r="BI13" s="10">
        <v>13</v>
      </c>
      <c r="BJ13" s="9" t="s">
        <v>40</v>
      </c>
      <c r="BK13" s="9" t="s">
        <v>86</v>
      </c>
      <c r="BL13" s="9" t="s">
        <v>51</v>
      </c>
      <c r="BM13" s="10"/>
      <c r="BN13" s="10">
        <v>14</v>
      </c>
      <c r="BO13" s="9" t="s">
        <v>44</v>
      </c>
      <c r="BP13" s="9" t="s">
        <v>86</v>
      </c>
      <c r="BQ13" s="9" t="s">
        <v>60</v>
      </c>
      <c r="BR13" s="10"/>
      <c r="BS13" s="10">
        <v>15</v>
      </c>
      <c r="BT13" s="9" t="s">
        <v>69</v>
      </c>
      <c r="BU13" s="9" t="s">
        <v>86</v>
      </c>
      <c r="BV13" s="9" t="s">
        <v>67</v>
      </c>
      <c r="BW13" s="10"/>
      <c r="BX13" s="10">
        <v>16</v>
      </c>
      <c r="BY13" s="9" t="s">
        <v>15</v>
      </c>
      <c r="BZ13" s="9" t="s">
        <v>86</v>
      </c>
      <c r="CA13" s="9" t="s">
        <v>68</v>
      </c>
      <c r="CB13" s="10"/>
      <c r="CC13" s="10">
        <v>17</v>
      </c>
      <c r="CD13" s="9" t="s">
        <v>61</v>
      </c>
      <c r="CE13" s="9" t="s">
        <v>86</v>
      </c>
      <c r="CF13" s="9" t="s">
        <v>41</v>
      </c>
      <c r="CG13" s="10"/>
      <c r="CH13" s="10">
        <v>18</v>
      </c>
      <c r="CI13" s="9" t="s">
        <v>40</v>
      </c>
      <c r="CJ13" s="9" t="s">
        <v>86</v>
      </c>
      <c r="CK13" s="9" t="s">
        <v>70</v>
      </c>
    </row>
    <row r="14" spans="1:89" ht="15.75" customHeight="1" x14ac:dyDescent="0.15">
      <c r="A14" s="10">
        <v>1</v>
      </c>
      <c r="B14" s="9" t="s">
        <v>18</v>
      </c>
      <c r="C14" s="9" t="s">
        <v>86</v>
      </c>
      <c r="D14" s="9" t="s">
        <v>70</v>
      </c>
      <c r="E14" s="10"/>
      <c r="F14" s="10">
        <v>2</v>
      </c>
      <c r="G14" s="9" t="s">
        <v>43</v>
      </c>
      <c r="H14" s="9" t="s">
        <v>86</v>
      </c>
      <c r="I14" s="9" t="s">
        <v>62</v>
      </c>
      <c r="J14" s="10"/>
      <c r="K14" s="10">
        <v>3</v>
      </c>
      <c r="L14" s="9" t="s">
        <v>43</v>
      </c>
      <c r="M14" s="9" t="s">
        <v>86</v>
      </c>
      <c r="N14" s="9" t="s">
        <v>15</v>
      </c>
      <c r="O14" s="10"/>
      <c r="P14" s="10">
        <v>4</v>
      </c>
      <c r="Q14" s="9" t="s">
        <v>44</v>
      </c>
      <c r="R14" s="9" t="s">
        <v>86</v>
      </c>
      <c r="S14" s="9" t="s">
        <v>2</v>
      </c>
      <c r="T14" s="10"/>
      <c r="U14" s="10">
        <v>5</v>
      </c>
      <c r="V14" s="9" t="s">
        <v>44</v>
      </c>
      <c r="W14" s="9" t="s">
        <v>86</v>
      </c>
      <c r="X14" s="9" t="s">
        <v>34</v>
      </c>
      <c r="Y14" s="10"/>
      <c r="Z14" s="10">
        <v>6</v>
      </c>
      <c r="AA14" s="9" t="s">
        <v>50</v>
      </c>
      <c r="AB14" s="9" t="s">
        <v>86</v>
      </c>
      <c r="AC14" s="9" t="s">
        <v>43</v>
      </c>
      <c r="AD14" s="10"/>
      <c r="AE14" s="10">
        <v>7</v>
      </c>
      <c r="AF14" s="9" t="s">
        <v>44</v>
      </c>
      <c r="AG14" s="9" t="s">
        <v>86</v>
      </c>
      <c r="AH14" s="9" t="s">
        <v>46</v>
      </c>
      <c r="AI14" s="10"/>
      <c r="AJ14" s="10">
        <v>8</v>
      </c>
      <c r="AK14" s="9" t="s">
        <v>62</v>
      </c>
      <c r="AL14" s="9" t="s">
        <v>86</v>
      </c>
      <c r="AM14" s="9" t="s">
        <v>48</v>
      </c>
      <c r="AN14" s="10"/>
      <c r="AO14" s="10">
        <v>9</v>
      </c>
      <c r="AP14" s="9" t="s">
        <v>44</v>
      </c>
      <c r="AQ14" s="9" t="s">
        <v>86</v>
      </c>
      <c r="AR14" s="9" t="s">
        <v>69</v>
      </c>
      <c r="AS14" s="10"/>
      <c r="AT14" s="10">
        <v>10</v>
      </c>
      <c r="AU14" s="9" t="s">
        <v>47</v>
      </c>
      <c r="AV14" s="9" t="s">
        <v>86</v>
      </c>
      <c r="AW14" s="9" t="s">
        <v>59</v>
      </c>
      <c r="AX14" s="10"/>
      <c r="AY14" s="10">
        <v>11</v>
      </c>
      <c r="AZ14" s="9" t="s">
        <v>62</v>
      </c>
      <c r="BA14" s="9" t="s">
        <v>86</v>
      </c>
      <c r="BB14" s="9" t="s">
        <v>47</v>
      </c>
      <c r="BC14" s="10"/>
      <c r="BD14" s="10">
        <v>12</v>
      </c>
      <c r="BE14" s="9" t="s">
        <v>69</v>
      </c>
      <c r="BF14" s="9" t="s">
        <v>86</v>
      </c>
      <c r="BG14" s="9" t="s">
        <v>62</v>
      </c>
      <c r="BH14" s="10"/>
      <c r="BI14" s="10">
        <v>13</v>
      </c>
      <c r="BJ14" s="9" t="s">
        <v>59</v>
      </c>
      <c r="BK14" s="9" t="s">
        <v>86</v>
      </c>
      <c r="BL14" s="9" t="s">
        <v>52</v>
      </c>
      <c r="BM14" s="10"/>
      <c r="BN14" s="10">
        <v>14</v>
      </c>
      <c r="BO14" s="9" t="s">
        <v>34</v>
      </c>
      <c r="BP14" s="9" t="s">
        <v>86</v>
      </c>
      <c r="BQ14" s="9" t="s">
        <v>41</v>
      </c>
      <c r="BR14" s="10"/>
      <c r="BS14" s="10">
        <v>15</v>
      </c>
      <c r="BT14" s="9" t="s">
        <v>18</v>
      </c>
      <c r="BU14" s="9" t="s">
        <v>86</v>
      </c>
      <c r="BV14" s="9" t="s">
        <v>42</v>
      </c>
      <c r="BW14" s="10"/>
      <c r="BX14" s="10">
        <v>16</v>
      </c>
      <c r="BY14" s="9" t="s">
        <v>18</v>
      </c>
      <c r="BZ14" s="9" t="s">
        <v>86</v>
      </c>
      <c r="CA14" s="9" t="s">
        <v>66</v>
      </c>
      <c r="CB14" s="10"/>
      <c r="CC14" s="10">
        <v>17</v>
      </c>
      <c r="CD14" s="9" t="s">
        <v>69</v>
      </c>
      <c r="CE14" s="9" t="s">
        <v>86</v>
      </c>
      <c r="CF14" s="9" t="s">
        <v>18</v>
      </c>
      <c r="CG14" s="10"/>
      <c r="CH14" s="10">
        <v>18</v>
      </c>
      <c r="CI14" s="9" t="s">
        <v>60</v>
      </c>
      <c r="CJ14" s="9" t="s">
        <v>86</v>
      </c>
      <c r="CK14" s="9" t="s">
        <v>48</v>
      </c>
    </row>
    <row r="15" spans="1:89" ht="15.75" customHeight="1" x14ac:dyDescent="0.15">
      <c r="A15" s="10">
        <v>1</v>
      </c>
      <c r="B15" s="9" t="s">
        <v>2</v>
      </c>
      <c r="C15" s="9" t="s">
        <v>86</v>
      </c>
      <c r="D15" s="9" t="s">
        <v>69</v>
      </c>
      <c r="E15" s="10"/>
      <c r="F15" s="10">
        <v>2</v>
      </c>
      <c r="G15" s="9" t="s">
        <v>34</v>
      </c>
      <c r="H15" s="9" t="s">
        <v>86</v>
      </c>
      <c r="I15" s="9" t="s">
        <v>70</v>
      </c>
      <c r="J15" s="10"/>
      <c r="K15" s="10">
        <v>3</v>
      </c>
      <c r="L15" s="9" t="s">
        <v>63</v>
      </c>
      <c r="M15" s="9" t="s">
        <v>86</v>
      </c>
      <c r="N15" s="9" t="s">
        <v>18</v>
      </c>
      <c r="O15" s="10"/>
      <c r="P15" s="10">
        <v>4</v>
      </c>
      <c r="Q15" s="9" t="s">
        <v>34</v>
      </c>
      <c r="R15" s="9" t="s">
        <v>86</v>
      </c>
      <c r="S15" s="9" t="s">
        <v>42</v>
      </c>
      <c r="T15" s="10"/>
      <c r="U15" s="10">
        <v>5</v>
      </c>
      <c r="V15" s="9" t="s">
        <v>65</v>
      </c>
      <c r="W15" s="9" t="s">
        <v>86</v>
      </c>
      <c r="X15" s="9" t="s">
        <v>15</v>
      </c>
      <c r="Y15" s="10"/>
      <c r="Z15" s="10">
        <v>6</v>
      </c>
      <c r="AA15" s="9" t="s">
        <v>34</v>
      </c>
      <c r="AB15" s="9" t="s">
        <v>86</v>
      </c>
      <c r="AC15" s="9" t="s">
        <v>62</v>
      </c>
      <c r="AD15" s="10"/>
      <c r="AE15" s="10">
        <v>7</v>
      </c>
      <c r="AF15" s="9" t="s">
        <v>48</v>
      </c>
      <c r="AG15" s="9" t="s">
        <v>86</v>
      </c>
      <c r="AH15" s="9" t="s">
        <v>43</v>
      </c>
      <c r="AI15" s="10"/>
      <c r="AJ15" s="10">
        <v>8</v>
      </c>
      <c r="AK15" s="9" t="s">
        <v>44</v>
      </c>
      <c r="AL15" s="9" t="s">
        <v>86</v>
      </c>
      <c r="AM15" s="9" t="s">
        <v>49</v>
      </c>
      <c r="AN15" s="10"/>
      <c r="AO15" s="10">
        <v>9</v>
      </c>
      <c r="AP15" s="9" t="s">
        <v>49</v>
      </c>
      <c r="AQ15" s="9" t="s">
        <v>86</v>
      </c>
      <c r="AR15" s="9" t="s">
        <v>61</v>
      </c>
      <c r="AS15" s="10"/>
      <c r="AT15" s="10">
        <v>10</v>
      </c>
      <c r="AU15" s="9" t="s">
        <v>15</v>
      </c>
      <c r="AV15" s="9" t="s">
        <v>86</v>
      </c>
      <c r="AW15" s="9" t="s">
        <v>2</v>
      </c>
      <c r="AX15" s="9"/>
      <c r="AY15" s="9"/>
      <c r="AZ15" s="9"/>
      <c r="BA15" s="9"/>
      <c r="BB15" s="9"/>
      <c r="BC15" s="10"/>
      <c r="BD15" s="10">
        <v>12</v>
      </c>
      <c r="BE15" s="9" t="s">
        <v>34</v>
      </c>
      <c r="BF15" s="9" t="s">
        <v>86</v>
      </c>
      <c r="BG15" s="9" t="s">
        <v>44</v>
      </c>
      <c r="BH15" s="10"/>
      <c r="BI15" s="10">
        <v>13</v>
      </c>
      <c r="BJ15" s="9" t="s">
        <v>44</v>
      </c>
      <c r="BK15" s="9" t="s">
        <v>86</v>
      </c>
      <c r="BL15" s="9" t="s">
        <v>43</v>
      </c>
      <c r="BM15" s="10"/>
      <c r="BN15" s="10">
        <v>14</v>
      </c>
      <c r="BO15" s="9" t="s">
        <v>50</v>
      </c>
      <c r="BP15" s="9" t="s">
        <v>86</v>
      </c>
      <c r="BQ15" s="9" t="s">
        <v>51</v>
      </c>
      <c r="BR15" s="10"/>
      <c r="BS15" s="10">
        <v>15</v>
      </c>
      <c r="BT15" s="9" t="s">
        <v>41</v>
      </c>
      <c r="BU15" s="9" t="s">
        <v>86</v>
      </c>
      <c r="BV15" s="9" t="s">
        <v>43</v>
      </c>
      <c r="BW15" s="10"/>
      <c r="BX15" s="10">
        <v>16</v>
      </c>
      <c r="BY15" s="9" t="s">
        <v>46</v>
      </c>
      <c r="BZ15" s="9" t="s">
        <v>86</v>
      </c>
      <c r="CA15" s="9" t="s">
        <v>34</v>
      </c>
      <c r="CB15" s="10"/>
      <c r="CC15" s="10">
        <v>17</v>
      </c>
      <c r="CD15" s="9" t="s">
        <v>49</v>
      </c>
      <c r="CE15" s="9" t="s">
        <v>86</v>
      </c>
      <c r="CF15" s="9" t="s">
        <v>22</v>
      </c>
      <c r="CG15" s="10"/>
      <c r="CH15" s="10">
        <v>18</v>
      </c>
      <c r="CI15" s="9" t="s">
        <v>41</v>
      </c>
      <c r="CJ15" s="9" t="s">
        <v>86</v>
      </c>
      <c r="CK15" s="9" t="s">
        <v>44</v>
      </c>
    </row>
    <row r="16" spans="1:89" ht="15.75" customHeight="1" x14ac:dyDescent="0.15">
      <c r="A16" s="10">
        <v>1</v>
      </c>
      <c r="B16" s="9" t="s">
        <v>60</v>
      </c>
      <c r="C16" s="9" t="s">
        <v>86</v>
      </c>
      <c r="D16" s="9" t="s">
        <v>43</v>
      </c>
      <c r="E16" s="10"/>
      <c r="F16" s="10">
        <v>2</v>
      </c>
      <c r="G16" s="9" t="s">
        <v>46</v>
      </c>
      <c r="H16" s="9" t="s">
        <v>86</v>
      </c>
      <c r="I16" s="9" t="s">
        <v>45</v>
      </c>
      <c r="J16" s="10"/>
      <c r="K16" s="10">
        <v>3</v>
      </c>
      <c r="L16" s="9" t="s">
        <v>42</v>
      </c>
      <c r="M16" s="9" t="s">
        <v>86</v>
      </c>
      <c r="N16" s="9" t="s">
        <v>41</v>
      </c>
      <c r="O16" s="10"/>
      <c r="P16" s="10">
        <v>4</v>
      </c>
      <c r="Q16" s="9" t="s">
        <v>64</v>
      </c>
      <c r="R16" s="9" t="s">
        <v>86</v>
      </c>
      <c r="S16" s="9" t="s">
        <v>22</v>
      </c>
      <c r="T16" s="10"/>
      <c r="U16" s="10">
        <v>5</v>
      </c>
      <c r="V16" s="9" t="s">
        <v>41</v>
      </c>
      <c r="W16" s="9" t="s">
        <v>86</v>
      </c>
      <c r="X16" s="9" t="s">
        <v>51</v>
      </c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10"/>
      <c r="AO16" s="10">
        <v>9</v>
      </c>
      <c r="AP16" s="9" t="s">
        <v>37</v>
      </c>
      <c r="AQ16" s="9" t="s">
        <v>86</v>
      </c>
      <c r="AR16" s="9" t="s">
        <v>51</v>
      </c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10"/>
      <c r="BD16" s="10">
        <v>12</v>
      </c>
      <c r="BE16" s="9" t="s">
        <v>2</v>
      </c>
      <c r="BF16" s="9" t="s">
        <v>86</v>
      </c>
      <c r="BG16" s="9" t="s">
        <v>40</v>
      </c>
      <c r="BH16" s="9"/>
      <c r="BI16" s="9"/>
      <c r="BJ16" s="9"/>
      <c r="BK16" s="9"/>
      <c r="BL16" s="9"/>
      <c r="BM16" s="10"/>
      <c r="BN16" s="10">
        <v>14</v>
      </c>
      <c r="BO16" s="9" t="s">
        <v>12</v>
      </c>
      <c r="BP16" s="9" t="s">
        <v>86</v>
      </c>
      <c r="BQ16" s="9" t="s">
        <v>59</v>
      </c>
      <c r="BR16" s="10"/>
      <c r="BS16" s="10">
        <v>15</v>
      </c>
      <c r="BT16" s="9" t="s">
        <v>37</v>
      </c>
      <c r="BU16" s="9" t="s">
        <v>86</v>
      </c>
      <c r="BV16" s="9" t="s">
        <v>22</v>
      </c>
      <c r="BW16" s="10"/>
      <c r="BX16" s="10">
        <v>16</v>
      </c>
      <c r="BY16" s="9" t="s">
        <v>43</v>
      </c>
      <c r="BZ16" s="9" t="s">
        <v>86</v>
      </c>
      <c r="CA16" s="9" t="s">
        <v>12</v>
      </c>
      <c r="CB16" s="10"/>
      <c r="CC16" s="10">
        <v>17</v>
      </c>
      <c r="CD16" s="9" t="s">
        <v>34</v>
      </c>
      <c r="CE16" s="9" t="s">
        <v>86</v>
      </c>
      <c r="CF16" s="9" t="s">
        <v>48</v>
      </c>
      <c r="CG16" s="10"/>
      <c r="CH16" s="10">
        <v>18</v>
      </c>
      <c r="CI16" s="9" t="s">
        <v>15</v>
      </c>
      <c r="CJ16" s="9" t="s">
        <v>86</v>
      </c>
      <c r="CK16" s="9" t="s">
        <v>59</v>
      </c>
    </row>
    <row r="17" spans="1:89" ht="15.75" customHeight="1" x14ac:dyDescent="0.15">
      <c r="A17" s="10">
        <v>1</v>
      </c>
      <c r="B17" s="9" t="s">
        <v>46</v>
      </c>
      <c r="C17" s="9" t="s">
        <v>86</v>
      </c>
      <c r="D17" s="9" t="s">
        <v>42</v>
      </c>
      <c r="E17" s="10"/>
      <c r="F17" s="10">
        <v>2</v>
      </c>
      <c r="G17" s="9" t="s">
        <v>41</v>
      </c>
      <c r="H17" s="9" t="s">
        <v>86</v>
      </c>
      <c r="I17" s="9" t="s">
        <v>60</v>
      </c>
      <c r="J17" s="10"/>
      <c r="K17" s="10">
        <v>3</v>
      </c>
      <c r="L17" s="9" t="s">
        <v>49</v>
      </c>
      <c r="M17" s="9" t="s">
        <v>86</v>
      </c>
      <c r="N17" s="9" t="s">
        <v>48</v>
      </c>
      <c r="O17" s="10"/>
      <c r="P17" s="10">
        <v>4</v>
      </c>
      <c r="Q17" s="9" t="s">
        <v>63</v>
      </c>
      <c r="R17" s="9" t="s">
        <v>86</v>
      </c>
      <c r="S17" s="9" t="s">
        <v>65</v>
      </c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10"/>
      <c r="BD17" s="10">
        <v>12</v>
      </c>
      <c r="BE17" s="9" t="s">
        <v>61</v>
      </c>
      <c r="BF17" s="9" t="s">
        <v>86</v>
      </c>
      <c r="BG17" s="9" t="s">
        <v>64</v>
      </c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10"/>
      <c r="BS17" s="10">
        <v>15</v>
      </c>
      <c r="BT17" s="9" t="s">
        <v>46</v>
      </c>
      <c r="BU17" s="9" t="s">
        <v>86</v>
      </c>
      <c r="BV17" s="9" t="s">
        <v>40</v>
      </c>
      <c r="BW17" s="10"/>
      <c r="BX17" s="10">
        <v>16</v>
      </c>
      <c r="BY17" s="9" t="s">
        <v>22</v>
      </c>
      <c r="BZ17" s="9" t="s">
        <v>86</v>
      </c>
      <c r="CA17" s="9" t="s">
        <v>60</v>
      </c>
      <c r="CB17" s="10"/>
      <c r="CC17" s="10">
        <v>17</v>
      </c>
      <c r="CD17" s="9" t="s">
        <v>50</v>
      </c>
      <c r="CE17" s="9" t="s">
        <v>86</v>
      </c>
      <c r="CF17" s="9" t="s">
        <v>52</v>
      </c>
      <c r="CG17" s="10"/>
      <c r="CH17" s="10">
        <v>18</v>
      </c>
      <c r="CI17" s="9" t="s">
        <v>62</v>
      </c>
      <c r="CJ17" s="9" t="s">
        <v>86</v>
      </c>
      <c r="CK17" s="9" t="s">
        <v>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K1000"/>
  <sheetViews>
    <sheetView workbookViewId="0">
      <selection activeCell="J9" sqref="J9"/>
    </sheetView>
  </sheetViews>
  <sheetFormatPr baseColWidth="10" defaultColWidth="12.6640625" defaultRowHeight="15.75" customHeight="1" x14ac:dyDescent="0.15"/>
  <cols>
    <col min="1" max="1" width="18.83203125" bestFit="1" customWidth="1"/>
    <col min="2" max="2" width="17.1640625" customWidth="1"/>
    <col min="3" max="3" width="20.1640625" customWidth="1"/>
    <col min="4" max="4" width="13.1640625" customWidth="1"/>
    <col min="5" max="5" width="13.5" customWidth="1"/>
    <col min="10" max="10" width="18.5" bestFit="1" customWidth="1"/>
  </cols>
  <sheetData>
    <row r="1" spans="1:11" ht="15.75" customHeight="1" x14ac:dyDescent="0.15">
      <c r="A1" s="1" t="s">
        <v>53</v>
      </c>
      <c r="B1" s="1">
        <v>17</v>
      </c>
    </row>
    <row r="2" spans="1:11" ht="15.75" customHeight="1" x14ac:dyDescent="0.15">
      <c r="A2" s="1" t="s">
        <v>54</v>
      </c>
      <c r="B2" s="1">
        <v>483</v>
      </c>
    </row>
    <row r="3" spans="1:11" ht="15.75" customHeight="1" x14ac:dyDescent="0.15">
      <c r="A3" s="1" t="s">
        <v>55</v>
      </c>
      <c r="B3" s="5">
        <v>46282.684027777781</v>
      </c>
    </row>
    <row r="5" spans="1:11" ht="15.75" customHeight="1" x14ac:dyDescent="0.15">
      <c r="A5" s="1" t="s">
        <v>88</v>
      </c>
      <c r="B5" s="1" t="s">
        <v>89</v>
      </c>
      <c r="C5" s="1" t="s">
        <v>85</v>
      </c>
      <c r="D5" s="1" t="s">
        <v>90</v>
      </c>
      <c r="E5" s="1" t="s">
        <v>91</v>
      </c>
      <c r="F5" s="1" t="s">
        <v>92</v>
      </c>
      <c r="G5" s="1" t="s">
        <v>93</v>
      </c>
      <c r="H5" s="1" t="s">
        <v>94</v>
      </c>
      <c r="I5" s="1" t="s">
        <v>95</v>
      </c>
      <c r="J5" s="1" t="s">
        <v>58</v>
      </c>
      <c r="K5" s="1"/>
    </row>
    <row r="6" spans="1:11" ht="15.75" customHeight="1" x14ac:dyDescent="0.15">
      <c r="A6" s="5">
        <v>46282.84375</v>
      </c>
      <c r="B6" s="1" t="s">
        <v>22</v>
      </c>
      <c r="C6" s="1" t="s">
        <v>51</v>
      </c>
      <c r="D6" s="1">
        <v>3.05</v>
      </c>
      <c r="E6" s="1">
        <v>1.4</v>
      </c>
      <c r="F6" s="1">
        <v>5.5</v>
      </c>
      <c r="G6" s="1">
        <v>1.91</v>
      </c>
      <c r="H6" s="1">
        <v>-5.5</v>
      </c>
      <c r="I6" s="1">
        <v>1.91</v>
      </c>
      <c r="J6" s="5">
        <v>46282.683333333334</v>
      </c>
      <c r="K6" s="11"/>
    </row>
    <row r="7" spans="1:11" ht="15.75" customHeight="1" x14ac:dyDescent="0.15">
      <c r="A7" s="5">
        <v>46285.541666666664</v>
      </c>
      <c r="B7" s="1" t="s">
        <v>64</v>
      </c>
      <c r="C7" s="1" t="s">
        <v>65</v>
      </c>
      <c r="D7" s="1">
        <v>1.65</v>
      </c>
      <c r="E7" s="1">
        <v>2.2999999999999998</v>
      </c>
      <c r="F7" s="1">
        <v>-2.5</v>
      </c>
      <c r="G7" s="1">
        <v>1.85</v>
      </c>
      <c r="H7" s="1">
        <v>2.5</v>
      </c>
      <c r="I7" s="1">
        <v>1.98</v>
      </c>
      <c r="J7" s="5">
        <v>46282.683333333334</v>
      </c>
      <c r="K7" s="11"/>
    </row>
    <row r="8" spans="1:11" ht="15.75" customHeight="1" x14ac:dyDescent="0.15">
      <c r="A8" s="5">
        <v>46285.541666666664</v>
      </c>
      <c r="B8" s="1" t="s">
        <v>63</v>
      </c>
      <c r="C8" s="1" t="s">
        <v>15</v>
      </c>
      <c r="D8" s="1">
        <v>4</v>
      </c>
      <c r="E8" s="1">
        <v>1.26</v>
      </c>
      <c r="F8" s="1">
        <v>8.5</v>
      </c>
      <c r="G8" s="1">
        <v>1.87</v>
      </c>
      <c r="H8" s="1">
        <v>-8.5</v>
      </c>
      <c r="I8" s="1">
        <v>1.95</v>
      </c>
      <c r="J8" s="5">
        <v>46282.683333333334</v>
      </c>
      <c r="K8" s="11"/>
    </row>
    <row r="9" spans="1:11" ht="15.75" customHeight="1" x14ac:dyDescent="0.15">
      <c r="A9" s="5">
        <v>46285.541666666664</v>
      </c>
      <c r="B9" s="1" t="s">
        <v>37</v>
      </c>
      <c r="C9" s="1" t="s">
        <v>49</v>
      </c>
      <c r="D9" s="1">
        <v>2.64</v>
      </c>
      <c r="E9" s="1">
        <v>1.51</v>
      </c>
      <c r="F9" s="1">
        <v>4.5</v>
      </c>
      <c r="G9" s="1">
        <v>1.89</v>
      </c>
      <c r="H9" s="1">
        <v>-4.5</v>
      </c>
      <c r="I9" s="1">
        <v>1.93</v>
      </c>
      <c r="J9" s="5">
        <v>46282.683333333334</v>
      </c>
      <c r="K9" s="11"/>
    </row>
    <row r="10" spans="1:11" ht="15.75" customHeight="1" x14ac:dyDescent="0.15">
      <c r="A10" s="5">
        <v>46285.541666666664</v>
      </c>
      <c r="B10" s="1" t="s">
        <v>47</v>
      </c>
      <c r="C10" s="1" t="s">
        <v>52</v>
      </c>
      <c r="D10" s="1">
        <v>2.2000000000000002</v>
      </c>
      <c r="E10" s="1">
        <v>1.7</v>
      </c>
      <c r="F10" s="1">
        <v>2.5</v>
      </c>
      <c r="G10" s="1">
        <v>1.98</v>
      </c>
      <c r="H10" s="1">
        <v>-2.5</v>
      </c>
      <c r="I10" s="1">
        <v>1.85</v>
      </c>
      <c r="J10" s="5">
        <v>46282.683333333334</v>
      </c>
      <c r="K10" s="11"/>
    </row>
    <row r="11" spans="1:11" ht="15.75" customHeight="1" x14ac:dyDescent="0.15">
      <c r="A11" s="5">
        <v>46285.541666666664</v>
      </c>
      <c r="B11" s="1" t="s">
        <v>68</v>
      </c>
      <c r="C11" s="1" t="s">
        <v>61</v>
      </c>
      <c r="D11" s="1">
        <v>4.5</v>
      </c>
      <c r="E11" s="1">
        <v>1.22</v>
      </c>
      <c r="F11" s="1">
        <v>8.5</v>
      </c>
      <c r="G11" s="1">
        <v>1.89</v>
      </c>
      <c r="H11" s="1">
        <v>-8.5</v>
      </c>
      <c r="I11" s="1">
        <v>1.93</v>
      </c>
      <c r="J11" s="5">
        <v>46282.683333333334</v>
      </c>
      <c r="K11" s="11"/>
    </row>
    <row r="12" spans="1:11" ht="15.75" customHeight="1" x14ac:dyDescent="0.15">
      <c r="A12" s="5">
        <v>46285.541666666664</v>
      </c>
      <c r="B12" s="1" t="s">
        <v>50</v>
      </c>
      <c r="C12" s="1" t="s">
        <v>67</v>
      </c>
      <c r="D12" s="1">
        <v>1.52</v>
      </c>
      <c r="E12" s="1">
        <v>2.6</v>
      </c>
      <c r="F12" s="1">
        <v>-3.5</v>
      </c>
      <c r="G12" s="1">
        <v>1.89</v>
      </c>
      <c r="H12" s="1">
        <v>3.5</v>
      </c>
      <c r="I12" s="1">
        <v>1.93</v>
      </c>
      <c r="J12" s="5">
        <v>46282.683333333334</v>
      </c>
      <c r="K12" s="11"/>
    </row>
    <row r="13" spans="1:11" ht="15.75" customHeight="1" x14ac:dyDescent="0.15">
      <c r="A13" s="5">
        <v>46285.541666666664</v>
      </c>
      <c r="B13" s="1" t="s">
        <v>59</v>
      </c>
      <c r="C13" s="1" t="s">
        <v>40</v>
      </c>
      <c r="D13" s="1">
        <v>2.8</v>
      </c>
      <c r="E13" s="1">
        <v>1.46</v>
      </c>
      <c r="F13" s="1">
        <v>5.5</v>
      </c>
      <c r="G13" s="1">
        <v>1.87</v>
      </c>
      <c r="H13" s="1">
        <v>-5.5</v>
      </c>
      <c r="I13" s="1">
        <v>1.95</v>
      </c>
      <c r="J13" s="5">
        <v>46282.683333333334</v>
      </c>
      <c r="K13" s="11"/>
    </row>
    <row r="14" spans="1:11" ht="15.75" customHeight="1" x14ac:dyDescent="0.15">
      <c r="A14" s="5">
        <v>46285.541666666664</v>
      </c>
      <c r="B14" s="1" t="s">
        <v>48</v>
      </c>
      <c r="C14" s="1" t="s">
        <v>66</v>
      </c>
      <c r="D14" s="1">
        <v>1.32</v>
      </c>
      <c r="E14" s="1">
        <v>3.5</v>
      </c>
      <c r="F14" s="1">
        <v>-7</v>
      </c>
      <c r="G14" s="1">
        <v>1.91</v>
      </c>
      <c r="H14" s="1">
        <v>7</v>
      </c>
      <c r="I14" s="1">
        <v>1.91</v>
      </c>
      <c r="J14" s="5">
        <v>46282.683333333334</v>
      </c>
      <c r="K14" s="11"/>
    </row>
    <row r="15" spans="1:11" ht="15.75" customHeight="1" x14ac:dyDescent="0.15">
      <c r="A15" s="5">
        <v>46285.670138888891</v>
      </c>
      <c r="B15" s="1" t="s">
        <v>12</v>
      </c>
      <c r="C15" s="1" t="s">
        <v>42</v>
      </c>
      <c r="D15" s="1">
        <v>2.2400000000000002</v>
      </c>
      <c r="E15" s="1">
        <v>1.68</v>
      </c>
      <c r="F15" s="1">
        <v>2.5</v>
      </c>
      <c r="G15" s="1">
        <v>1.98</v>
      </c>
      <c r="H15" s="1">
        <v>-2.5</v>
      </c>
      <c r="I15" s="1">
        <v>1.85</v>
      </c>
      <c r="J15" s="5">
        <v>46282.683333333334</v>
      </c>
      <c r="K15" s="11"/>
    </row>
    <row r="16" spans="1:11" ht="15.75" customHeight="1" x14ac:dyDescent="0.15">
      <c r="A16" s="5">
        <v>46285.670138888891</v>
      </c>
      <c r="B16" s="1" t="s">
        <v>18</v>
      </c>
      <c r="C16" s="1" t="s">
        <v>2</v>
      </c>
      <c r="D16" s="1">
        <v>3.45</v>
      </c>
      <c r="E16" s="1">
        <v>1.33</v>
      </c>
      <c r="F16" s="1">
        <v>6.5</v>
      </c>
      <c r="G16" s="1">
        <v>1.98</v>
      </c>
      <c r="H16" s="1">
        <v>-6.5</v>
      </c>
      <c r="I16" s="1">
        <v>1.85</v>
      </c>
      <c r="J16" s="5">
        <v>46282.683333333334</v>
      </c>
      <c r="K16" s="11"/>
    </row>
    <row r="17" spans="1:11" ht="15.75" customHeight="1" x14ac:dyDescent="0.15">
      <c r="A17" s="5">
        <v>46285.684027777781</v>
      </c>
      <c r="B17" s="1" t="s">
        <v>44</v>
      </c>
      <c r="C17" s="1" t="s">
        <v>69</v>
      </c>
      <c r="D17" s="1">
        <v>1.44</v>
      </c>
      <c r="E17" s="1">
        <v>2.85</v>
      </c>
      <c r="F17" s="1">
        <v>-3.5</v>
      </c>
      <c r="G17" s="1">
        <v>1.83</v>
      </c>
      <c r="H17" s="1">
        <v>3.5</v>
      </c>
      <c r="I17" s="1">
        <v>2</v>
      </c>
      <c r="J17" s="5">
        <v>46282.683333333334</v>
      </c>
      <c r="K17" s="11"/>
    </row>
    <row r="18" spans="1:11" ht="15.75" customHeight="1" x14ac:dyDescent="0.15">
      <c r="A18" s="5">
        <v>46285.684027777781</v>
      </c>
      <c r="B18" s="1" t="s">
        <v>62</v>
      </c>
      <c r="C18" s="1" t="s">
        <v>43</v>
      </c>
      <c r="D18" s="1">
        <v>2.8</v>
      </c>
      <c r="E18" s="1">
        <v>1.46</v>
      </c>
      <c r="F18" s="1">
        <v>4.5</v>
      </c>
      <c r="G18" s="1">
        <v>1.87</v>
      </c>
      <c r="H18" s="1">
        <v>-4.5</v>
      </c>
      <c r="I18" s="1">
        <v>1.95</v>
      </c>
      <c r="J18" s="5">
        <v>46282.683333333334</v>
      </c>
      <c r="K18" s="11"/>
    </row>
    <row r="19" spans="1:11" ht="15.75" customHeight="1" x14ac:dyDescent="0.15">
      <c r="A19" s="5">
        <v>46285.684027777781</v>
      </c>
      <c r="B19" s="1" t="s">
        <v>70</v>
      </c>
      <c r="C19" s="1" t="s">
        <v>34</v>
      </c>
      <c r="D19" s="1">
        <v>7</v>
      </c>
      <c r="E19" s="1">
        <v>1.1100000000000001</v>
      </c>
      <c r="F19" s="1">
        <v>13.5</v>
      </c>
      <c r="G19" s="1">
        <v>1.87</v>
      </c>
      <c r="H19" s="1">
        <v>-13.5</v>
      </c>
      <c r="I19" s="1">
        <v>1.95</v>
      </c>
      <c r="J19" s="5">
        <v>46282.683333333334</v>
      </c>
      <c r="K19" s="11"/>
    </row>
    <row r="20" spans="1:11" ht="15.75" customHeight="1" x14ac:dyDescent="0.15">
      <c r="A20" s="5">
        <v>46285.847222222219</v>
      </c>
      <c r="B20" s="1" t="s">
        <v>45</v>
      </c>
      <c r="C20" s="1" t="s">
        <v>46</v>
      </c>
      <c r="D20" s="1">
        <v>3.35</v>
      </c>
      <c r="E20" s="1">
        <v>1.34</v>
      </c>
      <c r="F20" s="1">
        <v>6.5</v>
      </c>
      <c r="G20" s="1">
        <v>2</v>
      </c>
      <c r="H20" s="1">
        <v>-6.5</v>
      </c>
      <c r="I20" s="1">
        <v>1.83</v>
      </c>
      <c r="J20" s="5">
        <v>46282.683333333334</v>
      </c>
      <c r="K20" s="11"/>
    </row>
    <row r="21" spans="1:11" ht="15.75" customHeight="1" x14ac:dyDescent="0.15">
      <c r="A21" s="5">
        <v>46286.84375</v>
      </c>
      <c r="B21" s="1" t="s">
        <v>60</v>
      </c>
      <c r="C21" s="1" t="s">
        <v>41</v>
      </c>
      <c r="D21" s="1">
        <v>3.85</v>
      </c>
      <c r="E21" s="1">
        <v>1.28</v>
      </c>
      <c r="F21" s="1">
        <v>7</v>
      </c>
      <c r="G21" s="1">
        <v>1.98</v>
      </c>
      <c r="H21" s="1">
        <v>-7</v>
      </c>
      <c r="I21" s="1">
        <v>1.85</v>
      </c>
      <c r="J21" s="5">
        <v>46282.683333333334</v>
      </c>
      <c r="K21" s="11"/>
    </row>
    <row r="22" spans="1:11" ht="15.75" customHeight="1" x14ac:dyDescent="0.15">
      <c r="A22" s="5">
        <v>46289.84375</v>
      </c>
      <c r="B22" s="1" t="s">
        <v>65</v>
      </c>
      <c r="C22" s="1" t="s">
        <v>50</v>
      </c>
      <c r="D22" s="1">
        <v>3.5</v>
      </c>
      <c r="E22" s="1">
        <v>1.32</v>
      </c>
      <c r="F22" s="1">
        <v>6.5</v>
      </c>
      <c r="G22" s="1">
        <v>1.95</v>
      </c>
      <c r="H22" s="1">
        <v>-6.5</v>
      </c>
      <c r="I22" s="1">
        <v>1.87</v>
      </c>
      <c r="J22" s="5">
        <v>46282.683333333334</v>
      </c>
      <c r="K22" s="11"/>
    </row>
    <row r="23" spans="1:11" ht="15.75" customHeight="1" x14ac:dyDescent="0.15">
      <c r="A23" s="5">
        <v>46292.541666666664</v>
      </c>
      <c r="B23" s="1" t="s">
        <v>2</v>
      </c>
      <c r="C23" s="1" t="s">
        <v>51</v>
      </c>
      <c r="D23" s="1">
        <v>2.85</v>
      </c>
      <c r="E23" s="1">
        <v>1.44</v>
      </c>
      <c r="F23" s="1">
        <v>4.5</v>
      </c>
      <c r="G23" s="1">
        <v>1.91</v>
      </c>
      <c r="H23" s="1">
        <v>-4.5</v>
      </c>
      <c r="I23" s="1">
        <v>1.91</v>
      </c>
      <c r="J23" s="5">
        <v>46282.683333333334</v>
      </c>
      <c r="K23" s="6"/>
    </row>
    <row r="24" spans="1:11" ht="15.75" customHeight="1" x14ac:dyDescent="0.15">
      <c r="A24" s="5">
        <v>46292.541666666664</v>
      </c>
      <c r="B24" s="1" t="s">
        <v>64</v>
      </c>
      <c r="C24" s="1" t="s">
        <v>68</v>
      </c>
      <c r="D24" s="1">
        <v>1.7</v>
      </c>
      <c r="E24" s="1">
        <v>2.2000000000000002</v>
      </c>
      <c r="F24" s="1">
        <v>-2.5</v>
      </c>
      <c r="G24" s="1">
        <v>1.87</v>
      </c>
      <c r="H24" s="1">
        <v>2.5</v>
      </c>
      <c r="I24" s="1">
        <v>1.95</v>
      </c>
      <c r="J24" s="5">
        <v>46282.683333333334</v>
      </c>
      <c r="K24" s="6"/>
    </row>
    <row r="25" spans="1:11" ht="15.75" customHeight="1" x14ac:dyDescent="0.15">
      <c r="A25" s="5">
        <v>46292.541666666664</v>
      </c>
      <c r="B25" s="1" t="s">
        <v>47</v>
      </c>
      <c r="C25" s="1" t="s">
        <v>59</v>
      </c>
      <c r="D25" s="1">
        <v>1.74</v>
      </c>
      <c r="E25" s="1">
        <v>2.14</v>
      </c>
      <c r="F25" s="1">
        <v>-2.5</v>
      </c>
      <c r="G25" s="1">
        <v>1.91</v>
      </c>
      <c r="H25" s="1">
        <v>2.5</v>
      </c>
      <c r="I25" s="1">
        <v>1.91</v>
      </c>
      <c r="J25" s="5">
        <v>46282.683333333334</v>
      </c>
      <c r="K25" s="6"/>
    </row>
    <row r="26" spans="1:11" ht="15.75" customHeight="1" x14ac:dyDescent="0.15">
      <c r="A26" s="5">
        <v>46292.541666666664</v>
      </c>
      <c r="B26" s="1" t="s">
        <v>67</v>
      </c>
      <c r="C26" s="1" t="s">
        <v>22</v>
      </c>
      <c r="D26" s="1">
        <v>3.75</v>
      </c>
      <c r="E26" s="1">
        <v>1.29</v>
      </c>
      <c r="F26" s="1">
        <v>7</v>
      </c>
      <c r="G26" s="1">
        <v>1.91</v>
      </c>
      <c r="H26" s="1">
        <v>-7</v>
      </c>
      <c r="I26" s="1">
        <v>1.91</v>
      </c>
      <c r="J26" s="5">
        <v>46282.683333333334</v>
      </c>
      <c r="K26" s="6"/>
    </row>
    <row r="27" spans="1:11" ht="15.75" customHeight="1" x14ac:dyDescent="0.15">
      <c r="A27" s="5">
        <v>46292.541666666664</v>
      </c>
      <c r="B27" s="1" t="s">
        <v>52</v>
      </c>
      <c r="C27" s="1" t="s">
        <v>45</v>
      </c>
      <c r="D27" s="1">
        <v>1.74</v>
      </c>
      <c r="E27" s="1">
        <v>2.14</v>
      </c>
      <c r="F27" s="1">
        <v>-2.5</v>
      </c>
      <c r="G27" s="1">
        <v>1.91</v>
      </c>
      <c r="H27" s="1">
        <v>2.5</v>
      </c>
      <c r="I27" s="1">
        <v>1.91</v>
      </c>
      <c r="J27" s="5">
        <v>46282.683333333334</v>
      </c>
      <c r="K27" s="6"/>
    </row>
    <row r="28" spans="1:11" ht="15.75" customHeight="1" x14ac:dyDescent="0.15">
      <c r="A28" s="5">
        <v>46292.541666666664</v>
      </c>
      <c r="B28" s="1" t="s">
        <v>40</v>
      </c>
      <c r="C28" s="1" t="s">
        <v>12</v>
      </c>
      <c r="D28" s="1">
        <v>2.14</v>
      </c>
      <c r="E28" s="1">
        <v>1.74</v>
      </c>
      <c r="F28" s="1">
        <v>2.5</v>
      </c>
      <c r="G28" s="1">
        <v>1.91</v>
      </c>
      <c r="H28" s="1">
        <v>-2.5</v>
      </c>
      <c r="I28" s="1">
        <v>1.91</v>
      </c>
      <c r="J28" s="5">
        <v>46282.683333333334</v>
      </c>
      <c r="K28" s="6"/>
    </row>
    <row r="29" spans="1:11" ht="15.75" customHeight="1" x14ac:dyDescent="0.15">
      <c r="A29" s="5">
        <v>46292.541666666664</v>
      </c>
      <c r="B29" s="1" t="s">
        <v>46</v>
      </c>
      <c r="C29" s="1" t="s">
        <v>70</v>
      </c>
      <c r="D29" s="1">
        <v>1.22</v>
      </c>
      <c r="E29" s="1">
        <v>4.5</v>
      </c>
      <c r="F29" s="1">
        <v>-8.5</v>
      </c>
      <c r="G29" s="1">
        <v>1.91</v>
      </c>
      <c r="H29" s="1">
        <v>8.5</v>
      </c>
      <c r="I29" s="1">
        <v>1.91</v>
      </c>
      <c r="J29" s="5">
        <v>46282.683333333334</v>
      </c>
      <c r="K29" s="6"/>
    </row>
    <row r="30" spans="1:11" ht="15.75" customHeight="1" x14ac:dyDescent="0.15">
      <c r="A30" s="5">
        <v>46292.541666666664</v>
      </c>
      <c r="B30" s="1" t="s">
        <v>66</v>
      </c>
      <c r="C30" s="1" t="s">
        <v>60</v>
      </c>
      <c r="D30" s="1">
        <v>3.05</v>
      </c>
      <c r="E30" s="1">
        <v>1.4</v>
      </c>
      <c r="F30" s="1">
        <v>5.5</v>
      </c>
      <c r="G30" s="1">
        <v>1.91</v>
      </c>
      <c r="H30" s="1">
        <v>-5.5</v>
      </c>
      <c r="I30" s="1">
        <v>1.91</v>
      </c>
      <c r="J30" s="5">
        <v>46282.683333333334</v>
      </c>
      <c r="K30" s="6"/>
    </row>
    <row r="31" spans="1:11" ht="15.75" customHeight="1" x14ac:dyDescent="0.15">
      <c r="A31" s="5">
        <v>46292.541666666664</v>
      </c>
      <c r="B31" s="1" t="s">
        <v>44</v>
      </c>
      <c r="C31" s="1" t="s">
        <v>62</v>
      </c>
      <c r="D31" s="1">
        <v>1.74</v>
      </c>
      <c r="E31" s="1">
        <v>2.14</v>
      </c>
      <c r="F31" s="1">
        <v>-2.5</v>
      </c>
      <c r="G31" s="1">
        <v>1.91</v>
      </c>
      <c r="H31" s="1">
        <v>2.5</v>
      </c>
      <c r="I31" s="1">
        <v>1.91</v>
      </c>
      <c r="J31" s="5">
        <v>46282.683333333334</v>
      </c>
      <c r="K31" s="6"/>
    </row>
    <row r="32" spans="1:11" ht="15.75" customHeight="1" x14ac:dyDescent="0.15">
      <c r="A32" s="5">
        <v>46292.670138888891</v>
      </c>
      <c r="B32" s="1" t="s">
        <v>69</v>
      </c>
      <c r="C32" s="1" t="s">
        <v>34</v>
      </c>
      <c r="D32" s="1">
        <v>4.7</v>
      </c>
      <c r="E32" s="1">
        <v>1.21</v>
      </c>
      <c r="F32" s="1">
        <v>8.5</v>
      </c>
      <c r="G32" s="1">
        <v>1.91</v>
      </c>
      <c r="H32" s="1">
        <v>-8.5</v>
      </c>
      <c r="I32" s="1">
        <v>1.91</v>
      </c>
      <c r="J32" s="5">
        <v>46282.683333333334</v>
      </c>
      <c r="K32" s="6"/>
    </row>
    <row r="33" spans="1:11" ht="15.75" customHeight="1" x14ac:dyDescent="0.15">
      <c r="A33" s="5">
        <v>46292.670138888891</v>
      </c>
      <c r="B33" s="1" t="s">
        <v>37</v>
      </c>
      <c r="C33" s="1" t="s">
        <v>61</v>
      </c>
      <c r="D33" s="1">
        <v>2.0499999999999998</v>
      </c>
      <c r="E33" s="1">
        <v>1.8</v>
      </c>
      <c r="F33" s="1">
        <v>1.5</v>
      </c>
      <c r="G33" s="1">
        <v>1.91</v>
      </c>
      <c r="H33" s="1">
        <v>-1.5</v>
      </c>
      <c r="I33" s="1">
        <v>1.91</v>
      </c>
      <c r="J33" s="5">
        <v>46282.683333333334</v>
      </c>
      <c r="K33" s="6"/>
    </row>
    <row r="34" spans="1:11" ht="15.75" customHeight="1" x14ac:dyDescent="0.15">
      <c r="A34" s="5">
        <v>46292.684027777781</v>
      </c>
      <c r="B34" s="1" t="s">
        <v>15</v>
      </c>
      <c r="C34" s="1" t="s">
        <v>43</v>
      </c>
      <c r="D34" s="1">
        <v>1.65</v>
      </c>
      <c r="E34" s="1">
        <v>2.2999999999999998</v>
      </c>
      <c r="F34" s="1">
        <v>-3</v>
      </c>
      <c r="G34" s="1">
        <v>1.91</v>
      </c>
      <c r="H34" s="1">
        <v>3</v>
      </c>
      <c r="I34" s="1">
        <v>1.91</v>
      </c>
      <c r="J34" s="5">
        <v>46282.683333333334</v>
      </c>
      <c r="K34" s="6"/>
    </row>
    <row r="35" spans="1:11" ht="15.75" customHeight="1" x14ac:dyDescent="0.15">
      <c r="A35" s="5">
        <v>46292.684027777781</v>
      </c>
      <c r="B35" s="1" t="s">
        <v>18</v>
      </c>
      <c r="C35" s="1" t="s">
        <v>63</v>
      </c>
      <c r="D35" s="1">
        <v>2.36</v>
      </c>
      <c r="E35" s="1">
        <v>1.62</v>
      </c>
      <c r="F35" s="1">
        <v>3</v>
      </c>
      <c r="G35" s="1">
        <v>1.91</v>
      </c>
      <c r="H35" s="1">
        <v>-3</v>
      </c>
      <c r="I35" s="1">
        <v>1.91</v>
      </c>
      <c r="J35" s="5">
        <v>46282.683333333334</v>
      </c>
      <c r="K35" s="6"/>
    </row>
    <row r="36" spans="1:11" ht="15.75" customHeight="1" x14ac:dyDescent="0.15">
      <c r="A36" s="5">
        <v>46292.847222222219</v>
      </c>
      <c r="B36" s="1" t="s">
        <v>41</v>
      </c>
      <c r="C36" s="1" t="s">
        <v>42</v>
      </c>
      <c r="D36" s="1">
        <v>1.74</v>
      </c>
      <c r="E36" s="1">
        <v>2.14</v>
      </c>
      <c r="F36" s="1">
        <v>-2.5</v>
      </c>
      <c r="G36" s="1">
        <v>1.91</v>
      </c>
      <c r="H36" s="1">
        <v>2.5</v>
      </c>
      <c r="I36" s="1">
        <v>1.91</v>
      </c>
      <c r="J36" s="5">
        <v>46282.683333333334</v>
      </c>
      <c r="K36" s="6"/>
    </row>
    <row r="37" spans="1:11" ht="15.75" customHeight="1" x14ac:dyDescent="0.15">
      <c r="A37" s="5">
        <v>46293.84375</v>
      </c>
      <c r="B37" s="1" t="s">
        <v>48</v>
      </c>
      <c r="C37" s="1" t="s">
        <v>49</v>
      </c>
      <c r="D37" s="1">
        <v>1.98</v>
      </c>
      <c r="E37" s="1">
        <v>1.85</v>
      </c>
      <c r="F37" s="1">
        <v>1.5</v>
      </c>
      <c r="G37" s="1">
        <v>1.87</v>
      </c>
      <c r="H37" s="1">
        <v>-1.5</v>
      </c>
      <c r="I37" s="1">
        <v>1.95</v>
      </c>
      <c r="J37" s="5">
        <v>46282.683333333334</v>
      </c>
      <c r="K37" s="6"/>
    </row>
    <row r="38" spans="1:11" ht="15.75" customHeight="1" x14ac:dyDescent="0.15">
      <c r="A38" s="5"/>
      <c r="J38" s="5"/>
      <c r="K38" s="6"/>
    </row>
    <row r="39" spans="1:11" ht="15.75" customHeight="1" x14ac:dyDescent="0.15">
      <c r="A39" s="5"/>
      <c r="J39" s="5"/>
      <c r="K39" s="6"/>
    </row>
    <row r="40" spans="1:11" ht="15.75" customHeight="1" x14ac:dyDescent="0.15">
      <c r="A40" s="5"/>
      <c r="J40" s="5"/>
      <c r="K40" s="6"/>
    </row>
    <row r="41" spans="1:11" ht="15.75" customHeight="1" x14ac:dyDescent="0.15">
      <c r="A41" s="5"/>
      <c r="J41" s="5"/>
      <c r="K41" s="6"/>
    </row>
    <row r="42" spans="1:11" ht="15.75" customHeight="1" x14ac:dyDescent="0.15">
      <c r="A42" s="5"/>
      <c r="J42" s="5"/>
      <c r="K42" s="6"/>
    </row>
    <row r="43" spans="1:11" ht="15.75" customHeight="1" x14ac:dyDescent="0.15">
      <c r="A43" s="5"/>
      <c r="J43" s="5"/>
      <c r="K43" s="6"/>
    </row>
    <row r="44" spans="1:11" ht="15.75" customHeight="1" x14ac:dyDescent="0.15">
      <c r="A44" s="5"/>
      <c r="J44" s="5"/>
      <c r="K44" s="6"/>
    </row>
    <row r="45" spans="1:11" ht="15.75" customHeight="1" x14ac:dyDescent="0.15">
      <c r="A45" s="5"/>
      <c r="J45" s="5"/>
      <c r="K45" s="6"/>
    </row>
    <row r="46" spans="1:11" ht="15.75" customHeight="1" x14ac:dyDescent="0.15">
      <c r="A46" s="5"/>
      <c r="J46" s="5"/>
      <c r="K46" s="6"/>
    </row>
    <row r="47" spans="1:11" ht="15.75" customHeight="1" x14ac:dyDescent="0.15">
      <c r="A47" s="5"/>
      <c r="J47" s="5"/>
      <c r="K47" s="6"/>
    </row>
    <row r="48" spans="1:11" ht="15.75" customHeight="1" x14ac:dyDescent="0.15">
      <c r="A48" s="5"/>
      <c r="J48" s="5"/>
      <c r="K48" s="6"/>
    </row>
    <row r="49" spans="1:11" ht="15.75" customHeight="1" x14ac:dyDescent="0.15">
      <c r="A49" s="5"/>
      <c r="J49" s="5"/>
      <c r="K49" s="6"/>
    </row>
    <row r="50" spans="1:11" ht="15.75" customHeight="1" x14ac:dyDescent="0.15">
      <c r="A50" s="5"/>
      <c r="J50" s="5"/>
      <c r="K50" s="6"/>
    </row>
    <row r="51" spans="1:11" ht="15.75" customHeight="1" x14ac:dyDescent="0.15">
      <c r="A51" s="5"/>
      <c r="J51" s="5"/>
      <c r="K51" s="6"/>
    </row>
    <row r="52" spans="1:11" ht="13" x14ac:dyDescent="0.15">
      <c r="A52" s="5"/>
      <c r="J52" s="5"/>
      <c r="K52" s="6"/>
    </row>
    <row r="53" spans="1:11" ht="13" x14ac:dyDescent="0.15">
      <c r="A53" s="5"/>
      <c r="J53" s="5"/>
      <c r="K53" s="6"/>
    </row>
    <row r="54" spans="1:11" ht="13" x14ac:dyDescent="0.15">
      <c r="A54" s="5"/>
      <c r="J54" s="5"/>
      <c r="K54" s="6"/>
    </row>
    <row r="55" spans="1:11" ht="13" x14ac:dyDescent="0.15">
      <c r="A55" s="5"/>
      <c r="J55" s="5"/>
      <c r="K55" s="6"/>
    </row>
    <row r="56" spans="1:11" ht="13" x14ac:dyDescent="0.15">
      <c r="A56" s="5"/>
      <c r="J56" s="5"/>
      <c r="K56" s="6"/>
    </row>
    <row r="57" spans="1:11" ht="13" x14ac:dyDescent="0.15">
      <c r="A57" s="5"/>
      <c r="J57" s="5"/>
      <c r="K57" s="6"/>
    </row>
    <row r="58" spans="1:11" ht="13" x14ac:dyDescent="0.15">
      <c r="A58" s="5"/>
      <c r="J58" s="5"/>
      <c r="K58" s="6"/>
    </row>
    <row r="59" spans="1:11" ht="13" x14ac:dyDescent="0.15">
      <c r="A59" s="5"/>
      <c r="J59" s="5"/>
      <c r="K59" s="6"/>
    </row>
    <row r="60" spans="1:11" ht="13" x14ac:dyDescent="0.15">
      <c r="A60" s="5"/>
      <c r="J60" s="5"/>
      <c r="K60" s="6"/>
    </row>
    <row r="61" spans="1:11" ht="13" x14ac:dyDescent="0.15">
      <c r="A61" s="5"/>
      <c r="J61" s="5"/>
      <c r="K61" s="6"/>
    </row>
    <row r="62" spans="1:11" ht="13" x14ac:dyDescent="0.15">
      <c r="A62" s="5"/>
      <c r="J62" s="5"/>
      <c r="K62" s="6"/>
    </row>
    <row r="63" spans="1:11" ht="13" x14ac:dyDescent="0.15">
      <c r="A63" s="5"/>
      <c r="J63" s="5"/>
      <c r="K63" s="6"/>
    </row>
    <row r="64" spans="1:11" ht="13" x14ac:dyDescent="0.15">
      <c r="A64" s="5"/>
      <c r="J64" s="5"/>
      <c r="K64" s="6"/>
    </row>
    <row r="65" spans="1:11" ht="13" x14ac:dyDescent="0.15">
      <c r="A65" s="5"/>
      <c r="J65" s="5"/>
      <c r="K65" s="6"/>
    </row>
    <row r="66" spans="1:11" ht="13" x14ac:dyDescent="0.15">
      <c r="A66" s="5"/>
      <c r="J66" s="5"/>
      <c r="K66" s="6"/>
    </row>
    <row r="67" spans="1:11" ht="13" x14ac:dyDescent="0.15">
      <c r="A67" s="5"/>
      <c r="J67" s="5"/>
      <c r="K67" s="6"/>
    </row>
    <row r="68" spans="1:11" ht="13" x14ac:dyDescent="0.15">
      <c r="A68" s="5"/>
      <c r="J68" s="5"/>
      <c r="K68" s="6"/>
    </row>
    <row r="69" spans="1:11" ht="13" x14ac:dyDescent="0.15">
      <c r="A69" s="5"/>
      <c r="J69" s="5"/>
      <c r="K69" s="6"/>
    </row>
    <row r="70" spans="1:11" ht="13" x14ac:dyDescent="0.15">
      <c r="A70" s="5"/>
      <c r="J70" s="5"/>
      <c r="K70" s="6"/>
    </row>
    <row r="71" spans="1:11" ht="13" x14ac:dyDescent="0.15">
      <c r="A71" s="5"/>
      <c r="J71" s="5"/>
      <c r="K71" s="6"/>
    </row>
    <row r="72" spans="1:11" ht="13" x14ac:dyDescent="0.15">
      <c r="A72" s="5"/>
      <c r="J72" s="5"/>
      <c r="K72" s="6"/>
    </row>
    <row r="73" spans="1:11" ht="13" x14ac:dyDescent="0.15">
      <c r="A73" s="5"/>
      <c r="J73" s="5"/>
      <c r="K73" s="6"/>
    </row>
    <row r="74" spans="1:11" ht="13" x14ac:dyDescent="0.15">
      <c r="A74" s="5"/>
      <c r="J74" s="5"/>
      <c r="K74" s="6"/>
    </row>
    <row r="75" spans="1:11" ht="13" x14ac:dyDescent="0.15">
      <c r="A75" s="5"/>
      <c r="J75" s="5"/>
      <c r="K75" s="6"/>
    </row>
    <row r="76" spans="1:11" ht="13" x14ac:dyDescent="0.15">
      <c r="A76" s="5"/>
      <c r="J76" s="5"/>
      <c r="K76" s="6"/>
    </row>
    <row r="77" spans="1:11" ht="13" x14ac:dyDescent="0.15">
      <c r="A77" s="5"/>
      <c r="J77" s="5"/>
      <c r="K77" s="6"/>
    </row>
    <row r="78" spans="1:11" ht="13" x14ac:dyDescent="0.15">
      <c r="A78" s="5"/>
      <c r="J78" s="5"/>
      <c r="K78" s="6"/>
    </row>
    <row r="79" spans="1:11" ht="13" x14ac:dyDescent="0.15">
      <c r="A79" s="5"/>
      <c r="J79" s="5"/>
      <c r="K79" s="6"/>
    </row>
    <row r="80" spans="1:11" ht="13" x14ac:dyDescent="0.15">
      <c r="A80" s="5"/>
      <c r="J80" s="5"/>
      <c r="K80" s="6"/>
    </row>
    <row r="81" spans="1:11" ht="13" x14ac:dyDescent="0.15">
      <c r="A81" s="5"/>
      <c r="J81" s="5"/>
      <c r="K81" s="6"/>
    </row>
    <row r="82" spans="1:11" ht="13" x14ac:dyDescent="0.15">
      <c r="A82" s="5"/>
      <c r="J82" s="5"/>
      <c r="K82" s="6"/>
    </row>
    <row r="83" spans="1:11" ht="13" x14ac:dyDescent="0.15">
      <c r="A83" s="5"/>
      <c r="J83" s="5"/>
      <c r="K83" s="6"/>
    </row>
    <row r="84" spans="1:11" ht="13" x14ac:dyDescent="0.15">
      <c r="A84" s="5"/>
      <c r="J84" s="5"/>
      <c r="K84" s="6"/>
    </row>
    <row r="85" spans="1:11" ht="13" x14ac:dyDescent="0.15">
      <c r="A85" s="5"/>
      <c r="J85" s="5"/>
      <c r="K85" s="6"/>
    </row>
    <row r="86" spans="1:11" ht="13" x14ac:dyDescent="0.15">
      <c r="A86" s="5"/>
      <c r="J86" s="5"/>
      <c r="K86" s="6"/>
    </row>
    <row r="87" spans="1:11" ht="13" x14ac:dyDescent="0.15">
      <c r="A87" s="5"/>
      <c r="J87" s="5"/>
      <c r="K87" s="6"/>
    </row>
    <row r="88" spans="1:11" ht="13" x14ac:dyDescent="0.15">
      <c r="A88" s="5"/>
      <c r="J88" s="5"/>
      <c r="K88" s="6"/>
    </row>
    <row r="89" spans="1:11" ht="13" x14ac:dyDescent="0.15">
      <c r="A89" s="5"/>
      <c r="J89" s="5"/>
      <c r="K89" s="6"/>
    </row>
    <row r="90" spans="1:11" ht="13" x14ac:dyDescent="0.15">
      <c r="A90" s="5"/>
      <c r="J90" s="5"/>
      <c r="K90" s="6"/>
    </row>
    <row r="91" spans="1:11" ht="13" x14ac:dyDescent="0.15">
      <c r="A91" s="5"/>
      <c r="J91" s="5"/>
      <c r="K91" s="6"/>
    </row>
    <row r="92" spans="1:11" ht="13" x14ac:dyDescent="0.15">
      <c r="A92" s="5"/>
      <c r="J92" s="5"/>
      <c r="K92" s="6"/>
    </row>
    <row r="93" spans="1:11" ht="13" x14ac:dyDescent="0.15">
      <c r="A93" s="5"/>
      <c r="J93" s="5"/>
      <c r="K93" s="6"/>
    </row>
    <row r="94" spans="1:11" ht="13" x14ac:dyDescent="0.15">
      <c r="A94" s="5"/>
      <c r="J94" s="5"/>
      <c r="K94" s="6"/>
    </row>
    <row r="95" spans="1:11" ht="13" x14ac:dyDescent="0.15">
      <c r="A95" s="5"/>
      <c r="J95" s="5"/>
      <c r="K95" s="6"/>
    </row>
    <row r="96" spans="1:11" ht="13" x14ac:dyDescent="0.15">
      <c r="A96" s="5"/>
      <c r="J96" s="5"/>
      <c r="K96" s="6"/>
    </row>
    <row r="97" spans="1:11" ht="13" x14ac:dyDescent="0.15">
      <c r="A97" s="5"/>
      <c r="J97" s="5"/>
      <c r="K97" s="6"/>
    </row>
    <row r="98" spans="1:11" ht="13" x14ac:dyDescent="0.15">
      <c r="A98" s="5"/>
      <c r="J98" s="5"/>
      <c r="K98" s="6"/>
    </row>
    <row r="99" spans="1:11" ht="13" x14ac:dyDescent="0.15">
      <c r="A99" s="5"/>
      <c r="J99" s="5"/>
      <c r="K99" s="6"/>
    </row>
    <row r="100" spans="1:11" ht="13" x14ac:dyDescent="0.15">
      <c r="A100" s="5"/>
      <c r="J100" s="5"/>
      <c r="K100" s="6"/>
    </row>
    <row r="101" spans="1:11" ht="13" x14ac:dyDescent="0.15">
      <c r="A101" s="5"/>
      <c r="J101" s="5"/>
      <c r="K101" s="6"/>
    </row>
    <row r="102" spans="1:11" ht="13" x14ac:dyDescent="0.15">
      <c r="A102" s="5"/>
      <c r="J102" s="5"/>
      <c r="K102" s="6"/>
    </row>
    <row r="103" spans="1:11" ht="13" x14ac:dyDescent="0.15">
      <c r="A103" s="5"/>
      <c r="J103" s="5"/>
      <c r="K103" s="6"/>
    </row>
    <row r="104" spans="1:11" ht="13" x14ac:dyDescent="0.15">
      <c r="A104" s="5"/>
      <c r="J104" s="5"/>
      <c r="K104" s="6"/>
    </row>
    <row r="105" spans="1:11" ht="13" x14ac:dyDescent="0.15">
      <c r="A105" s="5"/>
      <c r="J105" s="5"/>
      <c r="K105" s="6"/>
    </row>
    <row r="106" spans="1:11" ht="13" x14ac:dyDescent="0.15">
      <c r="A106" s="5"/>
      <c r="J106" s="5"/>
      <c r="K106" s="6"/>
    </row>
    <row r="107" spans="1:11" ht="13" x14ac:dyDescent="0.15">
      <c r="A107" s="5"/>
      <c r="J107" s="5"/>
      <c r="K107" s="6"/>
    </row>
    <row r="108" spans="1:11" ht="13" x14ac:dyDescent="0.15">
      <c r="A108" s="5"/>
      <c r="J108" s="5"/>
      <c r="K108" s="6"/>
    </row>
    <row r="109" spans="1:11" ht="13" x14ac:dyDescent="0.15">
      <c r="A109" s="5"/>
      <c r="J109" s="5"/>
      <c r="K109" s="6"/>
    </row>
    <row r="110" spans="1:11" ht="13" x14ac:dyDescent="0.15">
      <c r="A110" s="5"/>
      <c r="J110" s="5"/>
      <c r="K110" s="6"/>
    </row>
    <row r="111" spans="1:11" ht="13" x14ac:dyDescent="0.15">
      <c r="A111" s="5"/>
      <c r="J111" s="5"/>
      <c r="K111" s="6"/>
    </row>
    <row r="112" spans="1:11" ht="13" x14ac:dyDescent="0.15">
      <c r="A112" s="5"/>
      <c r="J112" s="5"/>
      <c r="K112" s="6"/>
    </row>
    <row r="113" spans="1:11" ht="13" x14ac:dyDescent="0.15">
      <c r="A113" s="5"/>
      <c r="J113" s="5"/>
      <c r="K113" s="6"/>
    </row>
    <row r="114" spans="1:11" ht="13" x14ac:dyDescent="0.15">
      <c r="A114" s="5"/>
      <c r="J114" s="5"/>
      <c r="K114" s="6"/>
    </row>
    <row r="115" spans="1:11" ht="13" x14ac:dyDescent="0.15">
      <c r="A115" s="5"/>
      <c r="J115" s="5"/>
      <c r="K115" s="6"/>
    </row>
    <row r="116" spans="1:11" ht="13" x14ac:dyDescent="0.15">
      <c r="A116" s="5"/>
      <c r="J116" s="5"/>
      <c r="K116" s="6"/>
    </row>
    <row r="117" spans="1:11" ht="13" x14ac:dyDescent="0.15">
      <c r="A117" s="5"/>
      <c r="J117" s="5"/>
      <c r="K117" s="6"/>
    </row>
    <row r="118" spans="1:11" ht="13" x14ac:dyDescent="0.15">
      <c r="A118" s="5"/>
      <c r="J118" s="5"/>
      <c r="K118" s="6"/>
    </row>
    <row r="119" spans="1:11" ht="13" x14ac:dyDescent="0.15">
      <c r="A119" s="5"/>
      <c r="J119" s="5"/>
      <c r="K119" s="6"/>
    </row>
    <row r="120" spans="1:11" ht="13" x14ac:dyDescent="0.15">
      <c r="A120" s="5"/>
      <c r="J120" s="5"/>
      <c r="K120" s="6"/>
    </row>
    <row r="121" spans="1:11" ht="13" x14ac:dyDescent="0.15">
      <c r="A121" s="5"/>
      <c r="J121" s="5"/>
      <c r="K121" s="6"/>
    </row>
    <row r="122" spans="1:11" ht="13" x14ac:dyDescent="0.15">
      <c r="A122" s="5"/>
      <c r="J122" s="5"/>
      <c r="K122" s="6"/>
    </row>
    <row r="123" spans="1:11" ht="13" x14ac:dyDescent="0.15">
      <c r="A123" s="5"/>
      <c r="J123" s="5"/>
      <c r="K123" s="6"/>
    </row>
    <row r="124" spans="1:11" ht="13" x14ac:dyDescent="0.15">
      <c r="A124" s="5"/>
      <c r="J124" s="5"/>
      <c r="K124" s="6"/>
    </row>
    <row r="125" spans="1:11" ht="13" x14ac:dyDescent="0.15">
      <c r="A125" s="5"/>
      <c r="J125" s="5"/>
      <c r="K125" s="6"/>
    </row>
    <row r="126" spans="1:11" ht="13" x14ac:dyDescent="0.15">
      <c r="A126" s="5"/>
      <c r="J126" s="5"/>
      <c r="K126" s="6"/>
    </row>
    <row r="127" spans="1:11" ht="13" x14ac:dyDescent="0.15">
      <c r="A127" s="5"/>
      <c r="J127" s="5"/>
      <c r="K127" s="6"/>
    </row>
    <row r="128" spans="1:11" ht="13" x14ac:dyDescent="0.15">
      <c r="A128" s="5"/>
      <c r="J128" s="5"/>
      <c r="K128" s="6"/>
    </row>
    <row r="129" spans="1:11" ht="13" x14ac:dyDescent="0.15">
      <c r="A129" s="5"/>
      <c r="J129" s="5"/>
      <c r="K129" s="6"/>
    </row>
    <row r="130" spans="1:11" ht="13" x14ac:dyDescent="0.15">
      <c r="A130" s="5"/>
      <c r="J130" s="5"/>
      <c r="K130" s="6"/>
    </row>
    <row r="131" spans="1:11" ht="13" x14ac:dyDescent="0.15">
      <c r="A131" s="5"/>
      <c r="J131" s="5"/>
      <c r="K131" s="6"/>
    </row>
    <row r="132" spans="1:11" ht="13" x14ac:dyDescent="0.15">
      <c r="A132" s="5"/>
      <c r="J132" s="5"/>
      <c r="K132" s="6"/>
    </row>
    <row r="133" spans="1:11" ht="13" x14ac:dyDescent="0.15">
      <c r="A133" s="5"/>
      <c r="J133" s="5"/>
      <c r="K133" s="6"/>
    </row>
    <row r="134" spans="1:11" ht="13" x14ac:dyDescent="0.15">
      <c r="A134" s="5"/>
      <c r="J134" s="5"/>
      <c r="K134" s="6"/>
    </row>
    <row r="135" spans="1:11" ht="13" x14ac:dyDescent="0.15">
      <c r="A135" s="5"/>
      <c r="J135" s="5"/>
      <c r="K135" s="6"/>
    </row>
    <row r="136" spans="1:11" ht="13" x14ac:dyDescent="0.15">
      <c r="A136" s="5"/>
      <c r="J136" s="5"/>
      <c r="K136" s="6"/>
    </row>
    <row r="137" spans="1:11" ht="13" x14ac:dyDescent="0.15">
      <c r="A137" s="5"/>
      <c r="J137" s="5"/>
      <c r="K137" s="6"/>
    </row>
    <row r="138" spans="1:11" ht="13" x14ac:dyDescent="0.15">
      <c r="A138" s="5"/>
      <c r="J138" s="5"/>
      <c r="K138" s="6"/>
    </row>
    <row r="139" spans="1:11" ht="13" x14ac:dyDescent="0.15">
      <c r="A139" s="5"/>
      <c r="J139" s="5"/>
      <c r="K139" s="6"/>
    </row>
    <row r="140" spans="1:11" ht="13" x14ac:dyDescent="0.15">
      <c r="A140" s="5"/>
      <c r="J140" s="5"/>
      <c r="K140" s="6"/>
    </row>
    <row r="141" spans="1:11" ht="13" x14ac:dyDescent="0.15">
      <c r="A141" s="5"/>
      <c r="J141" s="5"/>
      <c r="K141" s="6"/>
    </row>
    <row r="142" spans="1:11" ht="13" x14ac:dyDescent="0.15">
      <c r="A142" s="5"/>
      <c r="J142" s="5"/>
      <c r="K142" s="6"/>
    </row>
    <row r="143" spans="1:11" ht="13" x14ac:dyDescent="0.15">
      <c r="A143" s="5"/>
      <c r="J143" s="5"/>
      <c r="K143" s="6"/>
    </row>
    <row r="144" spans="1:11" ht="13" x14ac:dyDescent="0.15">
      <c r="A144" s="5"/>
      <c r="J144" s="5"/>
      <c r="K144" s="6"/>
    </row>
    <row r="145" spans="1:11" ht="13" x14ac:dyDescent="0.15">
      <c r="A145" s="5"/>
      <c r="J145" s="5"/>
      <c r="K145" s="6"/>
    </row>
    <row r="146" spans="1:11" ht="13" x14ac:dyDescent="0.15">
      <c r="A146" s="5"/>
      <c r="J146" s="5"/>
      <c r="K146" s="6"/>
    </row>
    <row r="147" spans="1:11" ht="13" x14ac:dyDescent="0.15">
      <c r="A147" s="5"/>
      <c r="J147" s="5"/>
      <c r="K147" s="6"/>
    </row>
    <row r="148" spans="1:11" ht="13" x14ac:dyDescent="0.15">
      <c r="A148" s="5"/>
      <c r="J148" s="5"/>
      <c r="K148" s="6"/>
    </row>
    <row r="149" spans="1:11" ht="13" x14ac:dyDescent="0.15">
      <c r="A149" s="5"/>
      <c r="J149" s="5"/>
      <c r="K149" s="6"/>
    </row>
    <row r="150" spans="1:11" ht="13" x14ac:dyDescent="0.15">
      <c r="A150" s="5"/>
      <c r="J150" s="5"/>
      <c r="K150" s="6"/>
    </row>
    <row r="151" spans="1:11" ht="13" x14ac:dyDescent="0.15">
      <c r="A151" s="5"/>
      <c r="J151" s="5"/>
      <c r="K151" s="6"/>
    </row>
    <row r="152" spans="1:11" ht="13" x14ac:dyDescent="0.15">
      <c r="A152" s="5"/>
      <c r="J152" s="5"/>
      <c r="K152" s="6"/>
    </row>
    <row r="153" spans="1:11" ht="13" x14ac:dyDescent="0.15">
      <c r="A153" s="5"/>
      <c r="J153" s="5"/>
      <c r="K153" s="6"/>
    </row>
    <row r="154" spans="1:11" ht="13" x14ac:dyDescent="0.15">
      <c r="A154" s="5"/>
      <c r="J154" s="5"/>
      <c r="K154" s="6"/>
    </row>
    <row r="155" spans="1:11" ht="13" x14ac:dyDescent="0.15">
      <c r="A155" s="5"/>
      <c r="J155" s="5"/>
      <c r="K155" s="6"/>
    </row>
    <row r="156" spans="1:11" ht="13" x14ac:dyDescent="0.15">
      <c r="A156" s="5"/>
      <c r="J156" s="5"/>
      <c r="K156" s="6"/>
    </row>
    <row r="157" spans="1:11" ht="13" x14ac:dyDescent="0.15">
      <c r="A157" s="5"/>
      <c r="J157" s="5"/>
      <c r="K157" s="6"/>
    </row>
    <row r="158" spans="1:11" ht="13" x14ac:dyDescent="0.15">
      <c r="A158" s="5"/>
      <c r="J158" s="5"/>
      <c r="K158" s="6"/>
    </row>
    <row r="159" spans="1:11" ht="13" x14ac:dyDescent="0.15">
      <c r="A159" s="5"/>
      <c r="J159" s="5"/>
      <c r="K159" s="6"/>
    </row>
    <row r="160" spans="1:11" ht="13" x14ac:dyDescent="0.15">
      <c r="A160" s="5"/>
      <c r="J160" s="5"/>
      <c r="K160" s="6"/>
    </row>
    <row r="161" spans="1:11" ht="13" x14ac:dyDescent="0.15">
      <c r="A161" s="5"/>
      <c r="J161" s="5"/>
      <c r="K161" s="6"/>
    </row>
    <row r="162" spans="1:11" ht="13" x14ac:dyDescent="0.15">
      <c r="A162" s="5"/>
      <c r="J162" s="5"/>
      <c r="K162" s="6"/>
    </row>
    <row r="163" spans="1:11" ht="13" x14ac:dyDescent="0.15">
      <c r="A163" s="5"/>
      <c r="J163" s="5"/>
      <c r="K163" s="6"/>
    </row>
    <row r="164" spans="1:11" ht="13" x14ac:dyDescent="0.15">
      <c r="A164" s="5"/>
      <c r="J164" s="5"/>
      <c r="K164" s="6"/>
    </row>
    <row r="165" spans="1:11" ht="13" x14ac:dyDescent="0.15">
      <c r="A165" s="5"/>
      <c r="J165" s="5"/>
      <c r="K165" s="6"/>
    </row>
    <row r="166" spans="1:11" ht="13" x14ac:dyDescent="0.15">
      <c r="A166" s="5"/>
      <c r="J166" s="5"/>
      <c r="K166" s="6"/>
    </row>
    <row r="167" spans="1:11" ht="13" x14ac:dyDescent="0.15">
      <c r="A167" s="5"/>
      <c r="J167" s="5"/>
      <c r="K167" s="6"/>
    </row>
    <row r="168" spans="1:11" ht="13" x14ac:dyDescent="0.15">
      <c r="A168" s="5"/>
      <c r="J168" s="5"/>
      <c r="K168" s="6"/>
    </row>
    <row r="169" spans="1:11" ht="13" x14ac:dyDescent="0.15">
      <c r="A169" s="5"/>
      <c r="J169" s="5"/>
      <c r="K169" s="6"/>
    </row>
    <row r="170" spans="1:11" ht="13" x14ac:dyDescent="0.15">
      <c r="A170" s="5"/>
      <c r="J170" s="5"/>
      <c r="K170" s="6"/>
    </row>
    <row r="171" spans="1:11" ht="13" x14ac:dyDescent="0.15">
      <c r="A171" s="5"/>
      <c r="J171" s="5"/>
      <c r="K171" s="6"/>
    </row>
    <row r="172" spans="1:11" ht="13" x14ac:dyDescent="0.15">
      <c r="A172" s="5"/>
      <c r="J172" s="5"/>
      <c r="K172" s="6"/>
    </row>
    <row r="173" spans="1:11" ht="13" x14ac:dyDescent="0.15">
      <c r="A173" s="5"/>
      <c r="J173" s="5"/>
      <c r="K173" s="6"/>
    </row>
    <row r="174" spans="1:11" ht="13" x14ac:dyDescent="0.15">
      <c r="A174" s="5"/>
      <c r="J174" s="5"/>
      <c r="K174" s="6"/>
    </row>
    <row r="175" spans="1:11" ht="13" x14ac:dyDescent="0.15">
      <c r="A175" s="5"/>
      <c r="J175" s="5"/>
      <c r="K175" s="6"/>
    </row>
    <row r="176" spans="1:11" ht="13" x14ac:dyDescent="0.15">
      <c r="A176" s="5"/>
      <c r="J176" s="5"/>
      <c r="K176" s="6"/>
    </row>
    <row r="177" spans="1:11" ht="13" x14ac:dyDescent="0.15">
      <c r="A177" s="5"/>
      <c r="J177" s="5"/>
      <c r="K177" s="6"/>
    </row>
    <row r="178" spans="1:11" ht="13" x14ac:dyDescent="0.15">
      <c r="A178" s="5"/>
      <c r="J178" s="5"/>
      <c r="K178" s="6"/>
    </row>
    <row r="179" spans="1:11" ht="13" x14ac:dyDescent="0.15">
      <c r="A179" s="5"/>
      <c r="J179" s="5"/>
      <c r="K179" s="6"/>
    </row>
    <row r="180" spans="1:11" ht="13" x14ac:dyDescent="0.15">
      <c r="A180" s="5"/>
      <c r="J180" s="5"/>
      <c r="K180" s="6"/>
    </row>
    <row r="181" spans="1:11" ht="13" x14ac:dyDescent="0.15">
      <c r="A181" s="5"/>
      <c r="J181" s="5"/>
      <c r="K181" s="6"/>
    </row>
    <row r="182" spans="1:11" ht="13" x14ac:dyDescent="0.15">
      <c r="A182" s="5"/>
      <c r="J182" s="5"/>
      <c r="K182" s="6"/>
    </row>
    <row r="183" spans="1:11" ht="13" x14ac:dyDescent="0.15">
      <c r="A183" s="5"/>
      <c r="J183" s="5"/>
      <c r="K183" s="6"/>
    </row>
    <row r="184" spans="1:11" ht="13" x14ac:dyDescent="0.15">
      <c r="A184" s="5"/>
      <c r="J184" s="5"/>
      <c r="K184" s="6"/>
    </row>
    <row r="185" spans="1:11" ht="13" x14ac:dyDescent="0.15">
      <c r="A185" s="5"/>
      <c r="J185" s="5"/>
      <c r="K185" s="6"/>
    </row>
    <row r="186" spans="1:11" ht="13" x14ac:dyDescent="0.15">
      <c r="A186" s="5"/>
      <c r="J186" s="5"/>
      <c r="K186" s="6"/>
    </row>
    <row r="187" spans="1:11" ht="13" x14ac:dyDescent="0.15">
      <c r="A187" s="5"/>
      <c r="J187" s="5"/>
      <c r="K187" s="6"/>
    </row>
    <row r="188" spans="1:11" ht="13" x14ac:dyDescent="0.15">
      <c r="A188" s="5"/>
      <c r="J188" s="5"/>
      <c r="K188" s="6"/>
    </row>
    <row r="189" spans="1:11" ht="13" x14ac:dyDescent="0.15">
      <c r="A189" s="5"/>
      <c r="J189" s="5"/>
      <c r="K189" s="6"/>
    </row>
    <row r="190" spans="1:11" ht="13" x14ac:dyDescent="0.15">
      <c r="A190" s="5"/>
      <c r="J190" s="5"/>
      <c r="K190" s="6"/>
    </row>
    <row r="191" spans="1:11" ht="13" x14ac:dyDescent="0.15">
      <c r="A191" s="5"/>
      <c r="J191" s="5"/>
      <c r="K191" s="6"/>
    </row>
    <row r="192" spans="1:11" ht="13" x14ac:dyDescent="0.15">
      <c r="A192" s="5"/>
      <c r="J192" s="5"/>
      <c r="K192" s="6"/>
    </row>
    <row r="193" spans="1:11" ht="13" x14ac:dyDescent="0.15">
      <c r="A193" s="5"/>
      <c r="J193" s="5"/>
      <c r="K193" s="6"/>
    </row>
    <row r="194" spans="1:11" ht="13" x14ac:dyDescent="0.15">
      <c r="A194" s="5"/>
      <c r="J194" s="5"/>
      <c r="K194" s="6"/>
    </row>
    <row r="195" spans="1:11" ht="13" x14ac:dyDescent="0.15">
      <c r="A195" s="5"/>
      <c r="J195" s="5"/>
      <c r="K195" s="6"/>
    </row>
    <row r="196" spans="1:11" ht="13" x14ac:dyDescent="0.15">
      <c r="A196" s="5"/>
      <c r="J196" s="5"/>
      <c r="K196" s="6"/>
    </row>
    <row r="197" spans="1:11" ht="13" x14ac:dyDescent="0.15">
      <c r="A197" s="5"/>
      <c r="J197" s="5"/>
      <c r="K197" s="6"/>
    </row>
    <row r="198" spans="1:11" ht="13" x14ac:dyDescent="0.15">
      <c r="A198" s="5"/>
      <c r="J198" s="5"/>
      <c r="K198" s="6"/>
    </row>
    <row r="199" spans="1:11" ht="13" x14ac:dyDescent="0.15">
      <c r="A199" s="5"/>
      <c r="J199" s="5"/>
      <c r="K199" s="6"/>
    </row>
    <row r="200" spans="1:11" ht="13" x14ac:dyDescent="0.15">
      <c r="A200" s="5"/>
      <c r="J200" s="5"/>
      <c r="K200" s="6"/>
    </row>
    <row r="201" spans="1:11" ht="13" x14ac:dyDescent="0.15">
      <c r="A201" s="5"/>
      <c r="J201" s="5"/>
      <c r="K201" s="6"/>
    </row>
    <row r="202" spans="1:11" ht="13" x14ac:dyDescent="0.15">
      <c r="A202" s="5"/>
      <c r="J202" s="5"/>
      <c r="K202" s="6"/>
    </row>
    <row r="203" spans="1:11" ht="13" x14ac:dyDescent="0.15">
      <c r="A203" s="5"/>
      <c r="J203" s="5"/>
      <c r="K203" s="6"/>
    </row>
    <row r="204" spans="1:11" ht="13" x14ac:dyDescent="0.15">
      <c r="A204" s="5"/>
      <c r="J204" s="5"/>
      <c r="K204" s="6"/>
    </row>
    <row r="205" spans="1:11" ht="13" x14ac:dyDescent="0.15">
      <c r="A205" s="5"/>
      <c r="J205" s="5"/>
      <c r="K205" s="6"/>
    </row>
    <row r="206" spans="1:11" ht="13" x14ac:dyDescent="0.15">
      <c r="A206" s="5"/>
      <c r="J206" s="5"/>
      <c r="K206" s="6"/>
    </row>
    <row r="207" spans="1:11" ht="13" x14ac:dyDescent="0.15">
      <c r="A207" s="5"/>
      <c r="J207" s="5"/>
      <c r="K207" s="6"/>
    </row>
    <row r="208" spans="1:11" ht="13" x14ac:dyDescent="0.15">
      <c r="A208" s="5"/>
      <c r="J208" s="5"/>
      <c r="K208" s="6"/>
    </row>
    <row r="209" spans="1:11" ht="13" x14ac:dyDescent="0.15">
      <c r="A209" s="5"/>
      <c r="J209" s="5"/>
      <c r="K209" s="6"/>
    </row>
    <row r="210" spans="1:11" ht="13" x14ac:dyDescent="0.15">
      <c r="A210" s="5"/>
      <c r="J210" s="5"/>
      <c r="K210" s="6"/>
    </row>
    <row r="211" spans="1:11" ht="13" x14ac:dyDescent="0.15">
      <c r="A211" s="5"/>
      <c r="J211" s="5"/>
      <c r="K211" s="6"/>
    </row>
    <row r="212" spans="1:11" ht="13" x14ac:dyDescent="0.15">
      <c r="A212" s="5"/>
      <c r="J212" s="5"/>
      <c r="K212" s="6"/>
    </row>
    <row r="213" spans="1:11" ht="13" x14ac:dyDescent="0.15">
      <c r="A213" s="5"/>
      <c r="J213" s="5"/>
      <c r="K213" s="6"/>
    </row>
    <row r="214" spans="1:11" ht="13" x14ac:dyDescent="0.15">
      <c r="A214" s="5"/>
      <c r="J214" s="5"/>
      <c r="K214" s="6"/>
    </row>
    <row r="215" spans="1:11" ht="13" x14ac:dyDescent="0.15">
      <c r="A215" s="5"/>
      <c r="J215" s="5"/>
      <c r="K215" s="6"/>
    </row>
    <row r="216" spans="1:11" ht="13" x14ac:dyDescent="0.15">
      <c r="A216" s="5"/>
      <c r="J216" s="5"/>
      <c r="K216" s="6"/>
    </row>
    <row r="217" spans="1:11" ht="13" x14ac:dyDescent="0.15">
      <c r="A217" s="5"/>
      <c r="J217" s="5"/>
      <c r="K217" s="6"/>
    </row>
    <row r="218" spans="1:11" ht="13" x14ac:dyDescent="0.15">
      <c r="A218" s="5"/>
      <c r="J218" s="5"/>
      <c r="K218" s="6"/>
    </row>
    <row r="219" spans="1:11" ht="13" x14ac:dyDescent="0.15">
      <c r="A219" s="5"/>
      <c r="J219" s="5"/>
      <c r="K219" s="6"/>
    </row>
    <row r="220" spans="1:11" ht="13" x14ac:dyDescent="0.15">
      <c r="A220" s="5"/>
      <c r="J220" s="5"/>
      <c r="K220" s="6"/>
    </row>
    <row r="221" spans="1:11" ht="13" x14ac:dyDescent="0.15">
      <c r="A221" s="5"/>
      <c r="J221" s="5"/>
      <c r="K221" s="6"/>
    </row>
    <row r="222" spans="1:11" ht="13" x14ac:dyDescent="0.15">
      <c r="A222" s="5"/>
      <c r="J222" s="5"/>
      <c r="K222" s="6"/>
    </row>
    <row r="223" spans="1:11" ht="13" x14ac:dyDescent="0.15">
      <c r="A223" s="5"/>
      <c r="J223" s="5"/>
      <c r="K223" s="6"/>
    </row>
    <row r="224" spans="1:11" ht="13" x14ac:dyDescent="0.15">
      <c r="A224" s="5"/>
      <c r="J224" s="5"/>
      <c r="K224" s="6"/>
    </row>
    <row r="225" spans="1:11" ht="13" x14ac:dyDescent="0.15">
      <c r="A225" s="5"/>
      <c r="J225" s="5"/>
      <c r="K225" s="6"/>
    </row>
    <row r="226" spans="1:11" ht="13" x14ac:dyDescent="0.15">
      <c r="A226" s="5"/>
      <c r="J226" s="5"/>
      <c r="K226" s="6"/>
    </row>
    <row r="227" spans="1:11" ht="13" x14ac:dyDescent="0.15">
      <c r="A227" s="5"/>
      <c r="J227" s="5"/>
      <c r="K227" s="6"/>
    </row>
    <row r="228" spans="1:11" ht="13" x14ac:dyDescent="0.15">
      <c r="A228" s="5"/>
      <c r="J228" s="5"/>
      <c r="K228" s="6"/>
    </row>
    <row r="229" spans="1:11" ht="13" x14ac:dyDescent="0.15">
      <c r="A229" s="5"/>
      <c r="J229" s="5"/>
      <c r="K229" s="6"/>
    </row>
    <row r="230" spans="1:11" ht="13" x14ac:dyDescent="0.15">
      <c r="A230" s="5"/>
      <c r="J230" s="5"/>
      <c r="K230" s="6"/>
    </row>
    <row r="231" spans="1:11" ht="13" x14ac:dyDescent="0.15">
      <c r="A231" s="5"/>
      <c r="J231" s="5"/>
      <c r="K231" s="6"/>
    </row>
    <row r="232" spans="1:11" ht="13" x14ac:dyDescent="0.15">
      <c r="A232" s="5"/>
      <c r="J232" s="5"/>
      <c r="K232" s="6"/>
    </row>
    <row r="233" spans="1:11" ht="13" x14ac:dyDescent="0.15">
      <c r="A233" s="5"/>
      <c r="J233" s="5"/>
      <c r="K233" s="6"/>
    </row>
    <row r="234" spans="1:11" ht="13" x14ac:dyDescent="0.15">
      <c r="A234" s="5"/>
      <c r="J234" s="5"/>
      <c r="K234" s="6"/>
    </row>
    <row r="235" spans="1:11" ht="13" x14ac:dyDescent="0.15">
      <c r="A235" s="5"/>
      <c r="J235" s="5"/>
      <c r="K235" s="6"/>
    </row>
    <row r="236" spans="1:11" ht="13" x14ac:dyDescent="0.15">
      <c r="A236" s="5"/>
      <c r="J236" s="5"/>
      <c r="K236" s="6"/>
    </row>
    <row r="237" spans="1:11" ht="13" x14ac:dyDescent="0.15">
      <c r="A237" s="5"/>
      <c r="J237" s="5"/>
      <c r="K237" s="6"/>
    </row>
    <row r="238" spans="1:11" ht="13" x14ac:dyDescent="0.15">
      <c r="A238" s="5"/>
      <c r="J238" s="5"/>
      <c r="K238" s="6"/>
    </row>
    <row r="239" spans="1:11" ht="13" x14ac:dyDescent="0.15">
      <c r="A239" s="5"/>
      <c r="J239" s="5"/>
      <c r="K239" s="6"/>
    </row>
    <row r="240" spans="1:11" ht="13" x14ac:dyDescent="0.15">
      <c r="A240" s="5"/>
      <c r="J240" s="5"/>
      <c r="K240" s="6"/>
    </row>
    <row r="241" spans="1:11" ht="13" x14ac:dyDescent="0.15">
      <c r="A241" s="5"/>
      <c r="J241" s="5"/>
      <c r="K241" s="6"/>
    </row>
    <row r="242" spans="1:11" ht="13" x14ac:dyDescent="0.15">
      <c r="A242" s="5"/>
      <c r="J242" s="5"/>
      <c r="K242" s="6"/>
    </row>
    <row r="243" spans="1:11" ht="13" x14ac:dyDescent="0.15">
      <c r="A243" s="5"/>
      <c r="J243" s="5"/>
      <c r="K243" s="6"/>
    </row>
    <row r="244" spans="1:11" ht="13" x14ac:dyDescent="0.15">
      <c r="A244" s="5"/>
      <c r="J244" s="5"/>
      <c r="K244" s="6"/>
    </row>
    <row r="245" spans="1:11" ht="13" x14ac:dyDescent="0.15">
      <c r="A245" s="5"/>
      <c r="J245" s="5"/>
      <c r="K245" s="6"/>
    </row>
    <row r="246" spans="1:11" ht="13" x14ac:dyDescent="0.15">
      <c r="A246" s="5"/>
      <c r="J246" s="5"/>
      <c r="K246" s="6"/>
    </row>
    <row r="247" spans="1:11" ht="13" x14ac:dyDescent="0.15">
      <c r="A247" s="5"/>
      <c r="J247" s="5"/>
      <c r="K247" s="6"/>
    </row>
    <row r="248" spans="1:11" ht="13" x14ac:dyDescent="0.15">
      <c r="A248" s="5"/>
      <c r="J248" s="5"/>
      <c r="K248" s="6"/>
    </row>
    <row r="249" spans="1:11" ht="13" x14ac:dyDescent="0.15">
      <c r="A249" s="5"/>
      <c r="J249" s="5"/>
      <c r="K249" s="6"/>
    </row>
    <row r="250" spans="1:11" ht="13" x14ac:dyDescent="0.15">
      <c r="A250" s="5"/>
      <c r="J250" s="5"/>
      <c r="K250" s="6"/>
    </row>
    <row r="251" spans="1:11" ht="13" x14ac:dyDescent="0.15">
      <c r="A251" s="5"/>
      <c r="J251" s="5"/>
      <c r="K251" s="6"/>
    </row>
    <row r="252" spans="1:11" ht="13" x14ac:dyDescent="0.15">
      <c r="A252" s="5"/>
      <c r="J252" s="5"/>
      <c r="K252" s="6"/>
    </row>
    <row r="253" spans="1:11" ht="13" x14ac:dyDescent="0.15">
      <c r="A253" s="5"/>
      <c r="J253" s="5"/>
      <c r="K253" s="6"/>
    </row>
    <row r="254" spans="1:11" ht="13" x14ac:dyDescent="0.15">
      <c r="A254" s="5"/>
      <c r="J254" s="5"/>
      <c r="K254" s="6"/>
    </row>
    <row r="255" spans="1:11" ht="13" x14ac:dyDescent="0.15">
      <c r="A255" s="5"/>
      <c r="J255" s="5"/>
      <c r="K255" s="6"/>
    </row>
    <row r="256" spans="1:11" ht="13" x14ac:dyDescent="0.15">
      <c r="A256" s="5"/>
      <c r="J256" s="5"/>
      <c r="K256" s="6"/>
    </row>
    <row r="257" spans="1:11" ht="13" x14ac:dyDescent="0.15">
      <c r="A257" s="5"/>
      <c r="J257" s="5"/>
      <c r="K257" s="6"/>
    </row>
    <row r="258" spans="1:11" ht="13" x14ac:dyDescent="0.15">
      <c r="A258" s="5"/>
      <c r="J258" s="5"/>
      <c r="K258" s="6"/>
    </row>
    <row r="259" spans="1:11" ht="13" x14ac:dyDescent="0.15">
      <c r="A259" s="5"/>
      <c r="J259" s="5"/>
      <c r="K259" s="6"/>
    </row>
    <row r="260" spans="1:11" ht="13" x14ac:dyDescent="0.15">
      <c r="A260" s="5"/>
      <c r="J260" s="5"/>
      <c r="K260" s="6"/>
    </row>
    <row r="261" spans="1:11" ht="13" x14ac:dyDescent="0.15">
      <c r="A261" s="5"/>
      <c r="J261" s="5"/>
      <c r="K261" s="6"/>
    </row>
    <row r="262" spans="1:11" ht="13" x14ac:dyDescent="0.15">
      <c r="A262" s="5"/>
      <c r="J262" s="5"/>
      <c r="K262" s="6"/>
    </row>
    <row r="263" spans="1:11" ht="13" x14ac:dyDescent="0.15">
      <c r="A263" s="5"/>
      <c r="B263" s="1"/>
      <c r="C263" s="1"/>
      <c r="D263" s="1"/>
      <c r="E263" s="1"/>
      <c r="F263" s="1"/>
      <c r="G263" s="1"/>
      <c r="H263" s="1"/>
      <c r="I263" s="1"/>
      <c r="J263" s="5"/>
      <c r="K263" s="11"/>
    </row>
    <row r="264" spans="1:11" ht="13" x14ac:dyDescent="0.15">
      <c r="A264" s="5"/>
      <c r="B264" s="1"/>
      <c r="C264" s="1"/>
      <c r="D264" s="1"/>
      <c r="E264" s="1"/>
      <c r="F264" s="1"/>
      <c r="G264" s="1"/>
      <c r="H264" s="1"/>
      <c r="I264" s="1"/>
      <c r="J264" s="5"/>
      <c r="K264" s="11"/>
    </row>
    <row r="265" spans="1:11" ht="13" x14ac:dyDescent="0.15">
      <c r="A265" s="5"/>
      <c r="B265" s="1"/>
      <c r="C265" s="1"/>
      <c r="D265" s="1"/>
      <c r="E265" s="1"/>
      <c r="F265" s="1"/>
      <c r="G265" s="1"/>
      <c r="H265" s="1"/>
      <c r="I265" s="1"/>
      <c r="J265" s="5"/>
      <c r="K265" s="11"/>
    </row>
    <row r="266" spans="1:11" ht="13" x14ac:dyDescent="0.15">
      <c r="A266" s="5"/>
      <c r="B266" s="1"/>
      <c r="C266" s="1"/>
      <c r="D266" s="1"/>
      <c r="E266" s="1"/>
      <c r="F266" s="1"/>
      <c r="G266" s="1"/>
      <c r="H266" s="1"/>
      <c r="I266" s="1"/>
      <c r="J266" s="5"/>
      <c r="K266" s="11"/>
    </row>
    <row r="267" spans="1:11" ht="13" x14ac:dyDescent="0.15">
      <c r="A267" s="5"/>
      <c r="B267" s="1"/>
      <c r="C267" s="1"/>
      <c r="D267" s="1"/>
      <c r="E267" s="1"/>
      <c r="F267" s="1"/>
      <c r="G267" s="1"/>
      <c r="H267" s="1"/>
      <c r="I267" s="1"/>
      <c r="J267" s="5"/>
      <c r="K267" s="11"/>
    </row>
    <row r="268" spans="1:11" ht="13" x14ac:dyDescent="0.15">
      <c r="A268" s="5"/>
      <c r="B268" s="1"/>
      <c r="C268" s="1"/>
      <c r="D268" s="1"/>
      <c r="E268" s="1"/>
      <c r="F268" s="1"/>
      <c r="G268" s="1"/>
      <c r="H268" s="1"/>
      <c r="I268" s="1"/>
      <c r="J268" s="5"/>
      <c r="K268" s="11"/>
    </row>
    <row r="269" spans="1:11" ht="13" x14ac:dyDescent="0.15">
      <c r="A269" s="5"/>
      <c r="B269" s="1"/>
      <c r="C269" s="1"/>
      <c r="D269" s="1"/>
      <c r="E269" s="1"/>
      <c r="F269" s="1"/>
      <c r="G269" s="1"/>
      <c r="H269" s="1"/>
      <c r="I269" s="1"/>
      <c r="J269" s="5"/>
      <c r="K269" s="11"/>
    </row>
    <row r="270" spans="1:11" ht="13" x14ac:dyDescent="0.15">
      <c r="A270" s="5"/>
      <c r="B270" s="1"/>
      <c r="C270" s="1"/>
      <c r="D270" s="1"/>
      <c r="E270" s="1"/>
      <c r="F270" s="1"/>
      <c r="G270" s="1"/>
      <c r="H270" s="1"/>
      <c r="I270" s="1"/>
      <c r="J270" s="5"/>
      <c r="K270" s="11"/>
    </row>
    <row r="271" spans="1:11" ht="13" x14ac:dyDescent="0.15">
      <c r="A271" s="5"/>
      <c r="B271" s="1"/>
      <c r="C271" s="1"/>
      <c r="D271" s="1"/>
      <c r="E271" s="1"/>
      <c r="F271" s="1"/>
      <c r="G271" s="1"/>
      <c r="H271" s="1"/>
      <c r="I271" s="1"/>
      <c r="J271" s="5"/>
      <c r="K271" s="11"/>
    </row>
    <row r="272" spans="1:11" ht="13" x14ac:dyDescent="0.15">
      <c r="A272" s="5"/>
      <c r="B272" s="1"/>
      <c r="C272" s="1"/>
      <c r="D272" s="1"/>
      <c r="E272" s="1"/>
      <c r="F272" s="1"/>
      <c r="G272" s="1"/>
      <c r="H272" s="1"/>
      <c r="I272" s="1"/>
      <c r="J272" s="5"/>
      <c r="K272" s="11"/>
    </row>
    <row r="273" spans="1:11" ht="13" x14ac:dyDescent="0.15">
      <c r="A273" s="5"/>
      <c r="B273" s="1"/>
      <c r="C273" s="1"/>
      <c r="D273" s="1"/>
      <c r="E273" s="1"/>
      <c r="F273" s="1"/>
      <c r="G273" s="1"/>
      <c r="H273" s="1"/>
      <c r="I273" s="1"/>
      <c r="J273" s="5"/>
      <c r="K273" s="11"/>
    </row>
    <row r="274" spans="1:11" ht="13" x14ac:dyDescent="0.15">
      <c r="A274" s="5"/>
      <c r="B274" s="1"/>
      <c r="C274" s="1"/>
      <c r="D274" s="1"/>
      <c r="E274" s="1"/>
      <c r="F274" s="1"/>
      <c r="G274" s="1"/>
      <c r="H274" s="1"/>
      <c r="I274" s="1"/>
      <c r="J274" s="5"/>
      <c r="K274" s="11"/>
    </row>
    <row r="275" spans="1:11" ht="13" x14ac:dyDescent="0.15">
      <c r="A275" s="5"/>
      <c r="B275" s="1"/>
      <c r="C275" s="1"/>
      <c r="D275" s="1"/>
      <c r="E275" s="1"/>
      <c r="F275" s="1"/>
      <c r="G275" s="1"/>
      <c r="H275" s="1"/>
      <c r="I275" s="1"/>
      <c r="J275" s="5"/>
      <c r="K275" s="11"/>
    </row>
    <row r="276" spans="1:11" ht="13" x14ac:dyDescent="0.15">
      <c r="A276" s="5"/>
      <c r="B276" s="1"/>
      <c r="C276" s="1"/>
      <c r="D276" s="1"/>
      <c r="E276" s="1"/>
      <c r="F276" s="1"/>
      <c r="G276" s="1"/>
      <c r="H276" s="1"/>
      <c r="I276" s="1"/>
      <c r="J276" s="5"/>
      <c r="K276" s="11"/>
    </row>
    <row r="277" spans="1:11" ht="13" x14ac:dyDescent="0.15">
      <c r="A277" s="5"/>
      <c r="B277" s="1"/>
      <c r="C277" s="1"/>
      <c r="D277" s="1"/>
      <c r="E277" s="1"/>
      <c r="F277" s="1"/>
      <c r="G277" s="1"/>
      <c r="H277" s="1"/>
      <c r="I277" s="1"/>
      <c r="J277" s="5"/>
      <c r="K277" s="11"/>
    </row>
    <row r="278" spans="1:11" ht="13" x14ac:dyDescent="0.15">
      <c r="K278" s="11"/>
    </row>
    <row r="279" spans="1:11" ht="13" x14ac:dyDescent="0.15">
      <c r="K279" s="11"/>
    </row>
    <row r="280" spans="1:11" ht="13" x14ac:dyDescent="0.15">
      <c r="K280" s="11"/>
    </row>
    <row r="281" spans="1:11" ht="13" x14ac:dyDescent="0.15">
      <c r="K281" s="11"/>
    </row>
    <row r="282" spans="1:11" ht="13" x14ac:dyDescent="0.15">
      <c r="K282" s="11"/>
    </row>
    <row r="283" spans="1:11" ht="13" x14ac:dyDescent="0.15">
      <c r="K283" s="11"/>
    </row>
    <row r="284" spans="1:11" ht="13" x14ac:dyDescent="0.15">
      <c r="K284" s="11"/>
    </row>
    <row r="285" spans="1:11" ht="13" x14ac:dyDescent="0.15">
      <c r="K285" s="11"/>
    </row>
    <row r="286" spans="1:11" ht="13" x14ac:dyDescent="0.15">
      <c r="K286" s="11"/>
    </row>
    <row r="287" spans="1:11" ht="13" x14ac:dyDescent="0.15">
      <c r="K287" s="11"/>
    </row>
    <row r="288" spans="1:11" ht="13" x14ac:dyDescent="0.15">
      <c r="K288" s="11"/>
    </row>
    <row r="289" spans="11:11" ht="13" x14ac:dyDescent="0.15">
      <c r="K289" s="11"/>
    </row>
    <row r="290" spans="11:11" ht="13" x14ac:dyDescent="0.15">
      <c r="K290" s="11"/>
    </row>
    <row r="291" spans="11:11" ht="13" x14ac:dyDescent="0.15">
      <c r="K291" s="11"/>
    </row>
    <row r="292" spans="11:11" ht="13" x14ac:dyDescent="0.15">
      <c r="K292" s="11"/>
    </row>
    <row r="293" spans="11:11" ht="13" x14ac:dyDescent="0.15">
      <c r="K293" s="11"/>
    </row>
    <row r="294" spans="11:11" ht="13" x14ac:dyDescent="0.15">
      <c r="K294" s="11"/>
    </row>
    <row r="295" spans="11:11" ht="13" x14ac:dyDescent="0.15">
      <c r="K295" s="11"/>
    </row>
    <row r="296" spans="11:11" ht="13" x14ac:dyDescent="0.15">
      <c r="K296" s="11"/>
    </row>
    <row r="297" spans="11:11" ht="13" x14ac:dyDescent="0.15">
      <c r="K297" s="11"/>
    </row>
    <row r="298" spans="11:11" ht="13" x14ac:dyDescent="0.15">
      <c r="K298" s="11"/>
    </row>
    <row r="299" spans="11:11" ht="13" x14ac:dyDescent="0.15">
      <c r="K299" s="11"/>
    </row>
    <row r="300" spans="11:11" ht="13" x14ac:dyDescent="0.15">
      <c r="K300" s="11"/>
    </row>
    <row r="301" spans="11:11" ht="13" x14ac:dyDescent="0.15">
      <c r="K301" s="11"/>
    </row>
    <row r="302" spans="11:11" ht="13" x14ac:dyDescent="0.15">
      <c r="K302" s="11"/>
    </row>
    <row r="303" spans="11:11" ht="13" x14ac:dyDescent="0.15">
      <c r="K303" s="11"/>
    </row>
    <row r="304" spans="11:11" ht="13" x14ac:dyDescent="0.15">
      <c r="K304" s="11"/>
    </row>
    <row r="305" spans="11:11" ht="13" x14ac:dyDescent="0.15">
      <c r="K305" s="11"/>
    </row>
    <row r="306" spans="11:11" ht="13" x14ac:dyDescent="0.15">
      <c r="K306" s="11"/>
    </row>
    <row r="307" spans="11:11" ht="13" x14ac:dyDescent="0.15">
      <c r="K307" s="11"/>
    </row>
    <row r="308" spans="11:11" ht="13" x14ac:dyDescent="0.15">
      <c r="K308" s="11"/>
    </row>
    <row r="309" spans="11:11" ht="13" x14ac:dyDescent="0.15">
      <c r="K309" s="11"/>
    </row>
    <row r="310" spans="11:11" ht="13" x14ac:dyDescent="0.15">
      <c r="K310" s="11"/>
    </row>
    <row r="311" spans="11:11" ht="13" x14ac:dyDescent="0.15">
      <c r="K311" s="11"/>
    </row>
    <row r="312" spans="11:11" ht="13" x14ac:dyDescent="0.15">
      <c r="K312" s="11"/>
    </row>
    <row r="313" spans="11:11" ht="13" x14ac:dyDescent="0.15">
      <c r="K313" s="11"/>
    </row>
    <row r="314" spans="11:11" ht="13" x14ac:dyDescent="0.15">
      <c r="K314" s="11"/>
    </row>
    <row r="315" spans="11:11" ht="13" x14ac:dyDescent="0.15">
      <c r="K315" s="11"/>
    </row>
    <row r="316" spans="11:11" ht="13" x14ac:dyDescent="0.15">
      <c r="K316" s="11"/>
    </row>
    <row r="317" spans="11:11" ht="13" x14ac:dyDescent="0.15">
      <c r="K317" s="11"/>
    </row>
    <row r="318" spans="11:11" ht="13" x14ac:dyDescent="0.15">
      <c r="K318" s="11"/>
    </row>
    <row r="319" spans="11:11" ht="13" x14ac:dyDescent="0.15">
      <c r="K319" s="11"/>
    </row>
    <row r="320" spans="11:11" ht="13" x14ac:dyDescent="0.15">
      <c r="K320" s="11"/>
    </row>
    <row r="321" spans="11:11" ht="13" x14ac:dyDescent="0.15">
      <c r="K321" s="11"/>
    </row>
    <row r="322" spans="11:11" ht="13" x14ac:dyDescent="0.15">
      <c r="K322" s="11"/>
    </row>
    <row r="323" spans="11:11" ht="13" x14ac:dyDescent="0.15">
      <c r="K323" s="11"/>
    </row>
    <row r="324" spans="11:11" ht="13" x14ac:dyDescent="0.15">
      <c r="K324" s="11"/>
    </row>
    <row r="325" spans="11:11" ht="13" x14ac:dyDescent="0.15">
      <c r="K325" s="11"/>
    </row>
    <row r="326" spans="11:11" ht="13" x14ac:dyDescent="0.15">
      <c r="K326" s="11"/>
    </row>
    <row r="327" spans="11:11" ht="13" x14ac:dyDescent="0.15">
      <c r="K327" s="11"/>
    </row>
    <row r="328" spans="11:11" ht="13" x14ac:dyDescent="0.15">
      <c r="K328" s="11"/>
    </row>
    <row r="329" spans="11:11" ht="13" x14ac:dyDescent="0.15">
      <c r="K329" s="11"/>
    </row>
    <row r="330" spans="11:11" ht="13" x14ac:dyDescent="0.15">
      <c r="K330" s="11"/>
    </row>
    <row r="331" spans="11:11" ht="13" x14ac:dyDescent="0.15">
      <c r="K331" s="11"/>
    </row>
    <row r="332" spans="11:11" ht="13" x14ac:dyDescent="0.15">
      <c r="K332" s="11"/>
    </row>
    <row r="333" spans="11:11" ht="13" x14ac:dyDescent="0.15">
      <c r="K333" s="11"/>
    </row>
    <row r="334" spans="11:11" ht="13" x14ac:dyDescent="0.15">
      <c r="K334" s="11"/>
    </row>
    <row r="335" spans="11:11" ht="13" x14ac:dyDescent="0.15">
      <c r="K335" s="11"/>
    </row>
    <row r="336" spans="11:11" ht="13" x14ac:dyDescent="0.15">
      <c r="K336" s="11"/>
    </row>
    <row r="337" spans="11:11" ht="13" x14ac:dyDescent="0.15">
      <c r="K337" s="11"/>
    </row>
    <row r="338" spans="11:11" ht="13" x14ac:dyDescent="0.15">
      <c r="K338" s="11"/>
    </row>
    <row r="339" spans="11:11" ht="13" x14ac:dyDescent="0.15">
      <c r="K339" s="11"/>
    </row>
    <row r="340" spans="11:11" ht="13" x14ac:dyDescent="0.15">
      <c r="K340" s="11"/>
    </row>
    <row r="341" spans="11:11" ht="13" x14ac:dyDescent="0.15">
      <c r="K341" s="11"/>
    </row>
    <row r="342" spans="11:11" ht="13" x14ac:dyDescent="0.15">
      <c r="K342" s="11"/>
    </row>
    <row r="343" spans="11:11" ht="13" x14ac:dyDescent="0.15">
      <c r="K343" s="11"/>
    </row>
    <row r="344" spans="11:11" ht="13" x14ac:dyDescent="0.15">
      <c r="K344" s="11"/>
    </row>
    <row r="345" spans="11:11" ht="13" x14ac:dyDescent="0.15">
      <c r="K345" s="11"/>
    </row>
    <row r="346" spans="11:11" ht="13" x14ac:dyDescent="0.15">
      <c r="K346" s="11"/>
    </row>
    <row r="347" spans="11:11" ht="13" x14ac:dyDescent="0.15">
      <c r="K347" s="11"/>
    </row>
    <row r="348" spans="11:11" ht="13" x14ac:dyDescent="0.15">
      <c r="K348" s="11"/>
    </row>
    <row r="349" spans="11:11" ht="13" x14ac:dyDescent="0.15">
      <c r="K349" s="11"/>
    </row>
    <row r="350" spans="11:11" ht="13" x14ac:dyDescent="0.15">
      <c r="K350" s="11"/>
    </row>
    <row r="351" spans="11:11" ht="13" x14ac:dyDescent="0.15">
      <c r="K351" s="11"/>
    </row>
    <row r="352" spans="11:11" ht="13" x14ac:dyDescent="0.15">
      <c r="K352" s="11"/>
    </row>
    <row r="353" spans="11:11" ht="13" x14ac:dyDescent="0.15">
      <c r="K353" s="11"/>
    </row>
    <row r="354" spans="11:11" ht="13" x14ac:dyDescent="0.15">
      <c r="K354" s="11"/>
    </row>
    <row r="355" spans="11:11" ht="13" x14ac:dyDescent="0.15">
      <c r="K355" s="11"/>
    </row>
    <row r="356" spans="11:11" ht="13" x14ac:dyDescent="0.15">
      <c r="K356" s="11"/>
    </row>
    <row r="357" spans="11:11" ht="13" x14ac:dyDescent="0.15">
      <c r="K357" s="11"/>
    </row>
    <row r="358" spans="11:11" ht="13" x14ac:dyDescent="0.15">
      <c r="K358" s="11"/>
    </row>
    <row r="359" spans="11:11" ht="13" x14ac:dyDescent="0.15">
      <c r="K359" s="11"/>
    </row>
    <row r="360" spans="11:11" ht="13" x14ac:dyDescent="0.15">
      <c r="K360" s="11"/>
    </row>
    <row r="361" spans="11:11" ht="13" x14ac:dyDescent="0.15">
      <c r="K361" s="11"/>
    </row>
    <row r="362" spans="11:11" ht="13" x14ac:dyDescent="0.15">
      <c r="K362" s="11"/>
    </row>
    <row r="363" spans="11:11" ht="13" x14ac:dyDescent="0.15">
      <c r="K363" s="11"/>
    </row>
    <row r="364" spans="11:11" ht="13" x14ac:dyDescent="0.15">
      <c r="K364" s="11"/>
    </row>
    <row r="365" spans="11:11" ht="13" x14ac:dyDescent="0.15">
      <c r="K365" s="11"/>
    </row>
    <row r="366" spans="11:11" ht="13" x14ac:dyDescent="0.15">
      <c r="K366" s="11"/>
    </row>
    <row r="367" spans="11:11" ht="13" x14ac:dyDescent="0.15">
      <c r="K367" s="11"/>
    </row>
    <row r="368" spans="11:11" ht="13" x14ac:dyDescent="0.15">
      <c r="K368" s="11"/>
    </row>
    <row r="369" spans="11:11" ht="13" x14ac:dyDescent="0.15">
      <c r="K369" s="11"/>
    </row>
    <row r="370" spans="11:11" ht="13" x14ac:dyDescent="0.15">
      <c r="K370" s="11"/>
    </row>
    <row r="371" spans="11:11" ht="13" x14ac:dyDescent="0.15">
      <c r="K371" s="11"/>
    </row>
    <row r="372" spans="11:11" ht="13" x14ac:dyDescent="0.15">
      <c r="K372" s="11"/>
    </row>
    <row r="373" spans="11:11" ht="13" x14ac:dyDescent="0.15">
      <c r="K373" s="11"/>
    </row>
    <row r="374" spans="11:11" ht="13" x14ac:dyDescent="0.15">
      <c r="K374" s="11"/>
    </row>
    <row r="375" spans="11:11" ht="13" x14ac:dyDescent="0.15">
      <c r="K375" s="11"/>
    </row>
    <row r="376" spans="11:11" ht="13" x14ac:dyDescent="0.15">
      <c r="K376" s="11"/>
    </row>
    <row r="377" spans="11:11" ht="13" x14ac:dyDescent="0.15">
      <c r="K377" s="11"/>
    </row>
    <row r="378" spans="11:11" ht="13" x14ac:dyDescent="0.15">
      <c r="K378" s="11"/>
    </row>
    <row r="379" spans="11:11" ht="13" x14ac:dyDescent="0.15">
      <c r="K379" s="11"/>
    </row>
    <row r="380" spans="11:11" ht="13" x14ac:dyDescent="0.15">
      <c r="K380" s="11"/>
    </row>
    <row r="381" spans="11:11" ht="13" x14ac:dyDescent="0.15">
      <c r="K381" s="11"/>
    </row>
    <row r="382" spans="11:11" ht="13" x14ac:dyDescent="0.15">
      <c r="K382" s="11"/>
    </row>
    <row r="383" spans="11:11" ht="13" x14ac:dyDescent="0.15">
      <c r="K383" s="11"/>
    </row>
    <row r="384" spans="11:11" ht="13" x14ac:dyDescent="0.15">
      <c r="K384" s="11"/>
    </row>
    <row r="385" spans="11:11" ht="13" x14ac:dyDescent="0.15">
      <c r="K385" s="11"/>
    </row>
    <row r="386" spans="11:11" ht="13" x14ac:dyDescent="0.15">
      <c r="K386" s="11"/>
    </row>
    <row r="387" spans="11:11" ht="13" x14ac:dyDescent="0.15">
      <c r="K387" s="11"/>
    </row>
    <row r="388" spans="11:11" ht="13" x14ac:dyDescent="0.15">
      <c r="K388" s="11"/>
    </row>
    <row r="389" spans="11:11" ht="13" x14ac:dyDescent="0.15">
      <c r="K389" s="11"/>
    </row>
    <row r="390" spans="11:11" ht="13" x14ac:dyDescent="0.15">
      <c r="K390" s="11"/>
    </row>
    <row r="391" spans="11:11" ht="13" x14ac:dyDescent="0.15">
      <c r="K391" s="11"/>
    </row>
    <row r="392" spans="11:11" ht="13" x14ac:dyDescent="0.15">
      <c r="K392" s="11"/>
    </row>
    <row r="393" spans="11:11" ht="13" x14ac:dyDescent="0.15">
      <c r="K393" s="11"/>
    </row>
    <row r="394" spans="11:11" ht="13" x14ac:dyDescent="0.15">
      <c r="K394" s="11"/>
    </row>
    <row r="395" spans="11:11" ht="13" x14ac:dyDescent="0.15">
      <c r="K395" s="11"/>
    </row>
    <row r="396" spans="11:11" ht="13" x14ac:dyDescent="0.15">
      <c r="K396" s="11"/>
    </row>
    <row r="397" spans="11:11" ht="13" x14ac:dyDescent="0.15">
      <c r="K397" s="11"/>
    </row>
    <row r="398" spans="11:11" ht="13" x14ac:dyDescent="0.15">
      <c r="K398" s="11"/>
    </row>
    <row r="399" spans="11:11" ht="13" x14ac:dyDescent="0.15">
      <c r="K399" s="11"/>
    </row>
    <row r="400" spans="11:11" ht="13" x14ac:dyDescent="0.15">
      <c r="K400" s="11"/>
    </row>
    <row r="401" spans="11:11" ht="13" x14ac:dyDescent="0.15">
      <c r="K401" s="11"/>
    </row>
    <row r="402" spans="11:11" ht="13" x14ac:dyDescent="0.15">
      <c r="K402" s="11"/>
    </row>
    <row r="403" spans="11:11" ht="13" x14ac:dyDescent="0.15">
      <c r="K403" s="11"/>
    </row>
    <row r="404" spans="11:11" ht="13" x14ac:dyDescent="0.15">
      <c r="K404" s="11"/>
    </row>
    <row r="405" spans="11:11" ht="13" x14ac:dyDescent="0.15">
      <c r="K405" s="11"/>
    </row>
    <row r="406" spans="11:11" ht="13" x14ac:dyDescent="0.15">
      <c r="K406" s="11"/>
    </row>
    <row r="407" spans="11:11" ht="13" x14ac:dyDescent="0.15">
      <c r="K407" s="11"/>
    </row>
    <row r="408" spans="11:11" ht="13" x14ac:dyDescent="0.15">
      <c r="K408" s="11"/>
    </row>
    <row r="409" spans="11:11" ht="13" x14ac:dyDescent="0.15">
      <c r="K409" s="11"/>
    </row>
    <row r="410" spans="11:11" ht="13" x14ac:dyDescent="0.15">
      <c r="K410" s="11"/>
    </row>
    <row r="411" spans="11:11" ht="13" x14ac:dyDescent="0.15">
      <c r="K411" s="11"/>
    </row>
    <row r="412" spans="11:11" ht="13" x14ac:dyDescent="0.15">
      <c r="K412" s="11"/>
    </row>
    <row r="413" spans="11:11" ht="13" x14ac:dyDescent="0.15">
      <c r="K413" s="11"/>
    </row>
    <row r="414" spans="11:11" ht="13" x14ac:dyDescent="0.15">
      <c r="K414" s="11"/>
    </row>
    <row r="415" spans="11:11" ht="13" x14ac:dyDescent="0.15">
      <c r="K415" s="11"/>
    </row>
    <row r="416" spans="11:11" ht="13" x14ac:dyDescent="0.15">
      <c r="K416" s="11"/>
    </row>
    <row r="417" spans="11:11" ht="13" x14ac:dyDescent="0.15">
      <c r="K417" s="11"/>
    </row>
    <row r="418" spans="11:11" ht="13" x14ac:dyDescent="0.15">
      <c r="K418" s="11"/>
    </row>
    <row r="419" spans="11:11" ht="13" x14ac:dyDescent="0.15">
      <c r="K419" s="11"/>
    </row>
    <row r="420" spans="11:11" ht="13" x14ac:dyDescent="0.15">
      <c r="K420" s="11"/>
    </row>
    <row r="421" spans="11:11" ht="13" x14ac:dyDescent="0.15">
      <c r="K421" s="11"/>
    </row>
    <row r="422" spans="11:11" ht="13" x14ac:dyDescent="0.15">
      <c r="K422" s="11"/>
    </row>
    <row r="423" spans="11:11" ht="13" x14ac:dyDescent="0.15">
      <c r="K423" s="11"/>
    </row>
    <row r="424" spans="11:11" ht="13" x14ac:dyDescent="0.15">
      <c r="K424" s="11"/>
    </row>
    <row r="425" spans="11:11" ht="13" x14ac:dyDescent="0.15">
      <c r="K425" s="11"/>
    </row>
    <row r="426" spans="11:11" ht="13" x14ac:dyDescent="0.15">
      <c r="K426" s="11"/>
    </row>
    <row r="427" spans="11:11" ht="13" x14ac:dyDescent="0.15">
      <c r="K427" s="11"/>
    </row>
    <row r="428" spans="11:11" ht="13" x14ac:dyDescent="0.15">
      <c r="K428" s="11"/>
    </row>
    <row r="429" spans="11:11" ht="13" x14ac:dyDescent="0.15">
      <c r="K429" s="11"/>
    </row>
    <row r="430" spans="11:11" ht="13" x14ac:dyDescent="0.15">
      <c r="K430" s="11"/>
    </row>
    <row r="431" spans="11:11" ht="13" x14ac:dyDescent="0.15">
      <c r="K431" s="11"/>
    </row>
    <row r="432" spans="11:11" ht="13" x14ac:dyDescent="0.15">
      <c r="K432" s="11"/>
    </row>
    <row r="433" spans="11:11" ht="13" x14ac:dyDescent="0.15">
      <c r="K433" s="11"/>
    </row>
    <row r="434" spans="11:11" ht="13" x14ac:dyDescent="0.15">
      <c r="K434" s="11"/>
    </row>
    <row r="435" spans="11:11" ht="13" x14ac:dyDescent="0.15">
      <c r="K435" s="11"/>
    </row>
    <row r="436" spans="11:11" ht="13" x14ac:dyDescent="0.15">
      <c r="K436" s="11"/>
    </row>
    <row r="437" spans="11:11" ht="13" x14ac:dyDescent="0.15">
      <c r="K437" s="11"/>
    </row>
    <row r="438" spans="11:11" ht="13" x14ac:dyDescent="0.15">
      <c r="K438" s="11"/>
    </row>
    <row r="439" spans="11:11" ht="13" x14ac:dyDescent="0.15">
      <c r="K439" s="11"/>
    </row>
    <row r="440" spans="11:11" ht="13" x14ac:dyDescent="0.15">
      <c r="K440" s="11"/>
    </row>
    <row r="441" spans="11:11" ht="13" x14ac:dyDescent="0.15">
      <c r="K441" s="11"/>
    </row>
    <row r="442" spans="11:11" ht="13" x14ac:dyDescent="0.15">
      <c r="K442" s="11"/>
    </row>
    <row r="443" spans="11:11" ht="13" x14ac:dyDescent="0.15">
      <c r="K443" s="11"/>
    </row>
    <row r="444" spans="11:11" ht="13" x14ac:dyDescent="0.15">
      <c r="K444" s="11"/>
    </row>
    <row r="445" spans="11:11" ht="13" x14ac:dyDescent="0.15">
      <c r="K445" s="11"/>
    </row>
    <row r="446" spans="11:11" ht="13" x14ac:dyDescent="0.15">
      <c r="K446" s="11"/>
    </row>
    <row r="447" spans="11:11" ht="13" x14ac:dyDescent="0.15">
      <c r="K447" s="11"/>
    </row>
    <row r="448" spans="11:11" ht="13" x14ac:dyDescent="0.15">
      <c r="K448" s="11"/>
    </row>
    <row r="449" spans="11:11" ht="13" x14ac:dyDescent="0.15">
      <c r="K449" s="11"/>
    </row>
    <row r="450" spans="11:11" ht="13" x14ac:dyDescent="0.15">
      <c r="K450" s="11"/>
    </row>
    <row r="451" spans="11:11" ht="13" x14ac:dyDescent="0.15">
      <c r="K451" s="11"/>
    </row>
    <row r="452" spans="11:11" ht="13" x14ac:dyDescent="0.15">
      <c r="K452" s="11"/>
    </row>
    <row r="453" spans="11:11" ht="13" x14ac:dyDescent="0.15">
      <c r="K453" s="11"/>
    </row>
    <row r="454" spans="11:11" ht="13" x14ac:dyDescent="0.15">
      <c r="K454" s="11"/>
    </row>
    <row r="455" spans="11:11" ht="13" x14ac:dyDescent="0.15">
      <c r="K455" s="11"/>
    </row>
    <row r="456" spans="11:11" ht="13" x14ac:dyDescent="0.15">
      <c r="K456" s="11"/>
    </row>
    <row r="457" spans="11:11" ht="13" x14ac:dyDescent="0.15">
      <c r="K457" s="11"/>
    </row>
    <row r="458" spans="11:11" ht="13" x14ac:dyDescent="0.15">
      <c r="K458" s="11"/>
    </row>
    <row r="459" spans="11:11" ht="13" x14ac:dyDescent="0.15">
      <c r="K459" s="11"/>
    </row>
    <row r="460" spans="11:11" ht="13" x14ac:dyDescent="0.15">
      <c r="K460" s="11"/>
    </row>
    <row r="461" spans="11:11" ht="13" x14ac:dyDescent="0.15">
      <c r="K461" s="11"/>
    </row>
    <row r="462" spans="11:11" ht="13" x14ac:dyDescent="0.15">
      <c r="K462" s="11"/>
    </row>
    <row r="463" spans="11:11" ht="13" x14ac:dyDescent="0.15">
      <c r="K463" s="11"/>
    </row>
    <row r="464" spans="11:11" ht="13" x14ac:dyDescent="0.15">
      <c r="K464" s="11"/>
    </row>
    <row r="465" spans="11:11" ht="13" x14ac:dyDescent="0.15">
      <c r="K465" s="11"/>
    </row>
    <row r="466" spans="11:11" ht="13" x14ac:dyDescent="0.15">
      <c r="K466" s="11"/>
    </row>
    <row r="467" spans="11:11" ht="13" x14ac:dyDescent="0.15">
      <c r="K467" s="11"/>
    </row>
    <row r="468" spans="11:11" ht="13" x14ac:dyDescent="0.15">
      <c r="K468" s="11"/>
    </row>
    <row r="469" spans="11:11" ht="13" x14ac:dyDescent="0.15">
      <c r="K469" s="11"/>
    </row>
    <row r="470" spans="11:11" ht="13" x14ac:dyDescent="0.15">
      <c r="K470" s="11"/>
    </row>
    <row r="471" spans="11:11" ht="13" x14ac:dyDescent="0.15">
      <c r="K471" s="11"/>
    </row>
    <row r="472" spans="11:11" ht="13" x14ac:dyDescent="0.15">
      <c r="K472" s="11"/>
    </row>
    <row r="473" spans="11:11" ht="13" x14ac:dyDescent="0.15">
      <c r="K473" s="11"/>
    </row>
    <row r="474" spans="11:11" ht="13" x14ac:dyDescent="0.15">
      <c r="K474" s="11"/>
    </row>
    <row r="475" spans="11:11" ht="13" x14ac:dyDescent="0.15">
      <c r="K475" s="11"/>
    </row>
    <row r="476" spans="11:11" ht="13" x14ac:dyDescent="0.15">
      <c r="K476" s="11"/>
    </row>
    <row r="477" spans="11:11" ht="13" x14ac:dyDescent="0.15">
      <c r="K477" s="11"/>
    </row>
    <row r="478" spans="11:11" ht="13" x14ac:dyDescent="0.15">
      <c r="K478" s="11"/>
    </row>
    <row r="479" spans="11:11" ht="13" x14ac:dyDescent="0.15">
      <c r="K479" s="11"/>
    </row>
    <row r="480" spans="11:11" ht="13" x14ac:dyDescent="0.15">
      <c r="K480" s="11"/>
    </row>
    <row r="481" spans="11:11" ht="13" x14ac:dyDescent="0.15">
      <c r="K481" s="11"/>
    </row>
    <row r="482" spans="11:11" ht="13" x14ac:dyDescent="0.15">
      <c r="K482" s="11"/>
    </row>
    <row r="483" spans="11:11" ht="13" x14ac:dyDescent="0.15">
      <c r="K483" s="11"/>
    </row>
    <row r="484" spans="11:11" ht="13" x14ac:dyDescent="0.15">
      <c r="K484" s="11"/>
    </row>
    <row r="485" spans="11:11" ht="13" x14ac:dyDescent="0.15">
      <c r="K485" s="11"/>
    </row>
    <row r="486" spans="11:11" ht="13" x14ac:dyDescent="0.15">
      <c r="K486" s="11"/>
    </row>
    <row r="487" spans="11:11" ht="13" x14ac:dyDescent="0.15">
      <c r="K487" s="11"/>
    </row>
    <row r="488" spans="11:11" ht="13" x14ac:dyDescent="0.15">
      <c r="K488" s="11"/>
    </row>
    <row r="489" spans="11:11" ht="13" x14ac:dyDescent="0.15">
      <c r="K489" s="11"/>
    </row>
    <row r="490" spans="11:11" ht="13" x14ac:dyDescent="0.15">
      <c r="K490" s="11"/>
    </row>
    <row r="491" spans="11:11" ht="13" x14ac:dyDescent="0.15">
      <c r="K491" s="11"/>
    </row>
    <row r="492" spans="11:11" ht="13" x14ac:dyDescent="0.15">
      <c r="K492" s="11"/>
    </row>
    <row r="493" spans="11:11" ht="13" x14ac:dyDescent="0.15">
      <c r="K493" s="11"/>
    </row>
    <row r="494" spans="11:11" ht="13" x14ac:dyDescent="0.15">
      <c r="K494" s="11"/>
    </row>
    <row r="495" spans="11:11" ht="13" x14ac:dyDescent="0.15">
      <c r="K495" s="11"/>
    </row>
    <row r="496" spans="11:11" ht="13" x14ac:dyDescent="0.15">
      <c r="K496" s="11"/>
    </row>
    <row r="497" spans="11:11" ht="13" x14ac:dyDescent="0.15">
      <c r="K497" s="11"/>
    </row>
    <row r="498" spans="11:11" ht="13" x14ac:dyDescent="0.15">
      <c r="K498" s="11"/>
    </row>
    <row r="499" spans="11:11" ht="13" x14ac:dyDescent="0.15">
      <c r="K499" s="11"/>
    </row>
    <row r="500" spans="11:11" ht="13" x14ac:dyDescent="0.15">
      <c r="K500" s="11"/>
    </row>
    <row r="501" spans="11:11" ht="13" x14ac:dyDescent="0.15">
      <c r="K501" s="11"/>
    </row>
    <row r="502" spans="11:11" ht="13" x14ac:dyDescent="0.15">
      <c r="K502" s="11"/>
    </row>
    <row r="503" spans="11:11" ht="13" x14ac:dyDescent="0.15">
      <c r="K503" s="11"/>
    </row>
    <row r="504" spans="11:11" ht="13" x14ac:dyDescent="0.15">
      <c r="K504" s="11"/>
    </row>
    <row r="505" spans="11:11" ht="13" x14ac:dyDescent="0.15">
      <c r="K505" s="11"/>
    </row>
    <row r="506" spans="11:11" ht="13" x14ac:dyDescent="0.15">
      <c r="K506" s="11"/>
    </row>
    <row r="507" spans="11:11" ht="13" x14ac:dyDescent="0.15">
      <c r="K507" s="11"/>
    </row>
    <row r="508" spans="11:11" ht="13" x14ac:dyDescent="0.15">
      <c r="K508" s="11"/>
    </row>
    <row r="509" spans="11:11" ht="13" x14ac:dyDescent="0.15">
      <c r="K509" s="11"/>
    </row>
    <row r="510" spans="11:11" ht="13" x14ac:dyDescent="0.15">
      <c r="K510" s="11"/>
    </row>
    <row r="511" spans="11:11" ht="13" x14ac:dyDescent="0.15">
      <c r="K511" s="11"/>
    </row>
    <row r="512" spans="11:11" ht="13" x14ac:dyDescent="0.15">
      <c r="K512" s="11"/>
    </row>
    <row r="513" spans="11:11" ht="13" x14ac:dyDescent="0.15">
      <c r="K513" s="11"/>
    </row>
    <row r="514" spans="11:11" ht="13" x14ac:dyDescent="0.15">
      <c r="K514" s="11"/>
    </row>
    <row r="515" spans="11:11" ht="13" x14ac:dyDescent="0.15">
      <c r="K515" s="11"/>
    </row>
    <row r="516" spans="11:11" ht="13" x14ac:dyDescent="0.15">
      <c r="K516" s="11"/>
    </row>
    <row r="517" spans="11:11" ht="13" x14ac:dyDescent="0.15">
      <c r="K517" s="11"/>
    </row>
    <row r="518" spans="11:11" ht="13" x14ac:dyDescent="0.15">
      <c r="K518" s="11"/>
    </row>
    <row r="519" spans="11:11" ht="13" x14ac:dyDescent="0.15">
      <c r="K519" s="11"/>
    </row>
    <row r="520" spans="11:11" ht="13" x14ac:dyDescent="0.15">
      <c r="K520" s="11"/>
    </row>
    <row r="521" spans="11:11" ht="13" x14ac:dyDescent="0.15">
      <c r="K521" s="11"/>
    </row>
    <row r="522" spans="11:11" ht="13" x14ac:dyDescent="0.15">
      <c r="K522" s="11"/>
    </row>
    <row r="523" spans="11:11" ht="13" x14ac:dyDescent="0.15">
      <c r="K523" s="11"/>
    </row>
    <row r="524" spans="11:11" ht="13" x14ac:dyDescent="0.15">
      <c r="K524" s="11"/>
    </row>
    <row r="525" spans="11:11" ht="13" x14ac:dyDescent="0.15">
      <c r="K525" s="11"/>
    </row>
    <row r="526" spans="11:11" ht="13" x14ac:dyDescent="0.15">
      <c r="K526" s="11"/>
    </row>
    <row r="527" spans="11:11" ht="13" x14ac:dyDescent="0.15">
      <c r="K527" s="11"/>
    </row>
    <row r="528" spans="11:11" ht="13" x14ac:dyDescent="0.15">
      <c r="K528" s="11"/>
    </row>
    <row r="529" spans="11:11" ht="13" x14ac:dyDescent="0.15">
      <c r="K529" s="11"/>
    </row>
    <row r="530" spans="11:11" ht="13" x14ac:dyDescent="0.15">
      <c r="K530" s="11"/>
    </row>
    <row r="531" spans="11:11" ht="13" x14ac:dyDescent="0.15">
      <c r="K531" s="11"/>
    </row>
    <row r="532" spans="11:11" ht="13" x14ac:dyDescent="0.15">
      <c r="K532" s="11"/>
    </row>
    <row r="533" spans="11:11" ht="13" x14ac:dyDescent="0.15">
      <c r="K533" s="11"/>
    </row>
    <row r="534" spans="11:11" ht="13" x14ac:dyDescent="0.15">
      <c r="K534" s="11"/>
    </row>
    <row r="535" spans="11:11" ht="13" x14ac:dyDescent="0.15">
      <c r="K535" s="11"/>
    </row>
    <row r="536" spans="11:11" ht="13" x14ac:dyDescent="0.15">
      <c r="K536" s="11"/>
    </row>
    <row r="537" spans="11:11" ht="13" x14ac:dyDescent="0.15">
      <c r="K537" s="11"/>
    </row>
    <row r="538" spans="11:11" ht="13" x14ac:dyDescent="0.15">
      <c r="K538" s="11"/>
    </row>
    <row r="539" spans="11:11" ht="13" x14ac:dyDescent="0.15">
      <c r="K539" s="11"/>
    </row>
    <row r="540" spans="11:11" ht="13" x14ac:dyDescent="0.15">
      <c r="K540" s="11"/>
    </row>
    <row r="541" spans="11:11" ht="13" x14ac:dyDescent="0.15">
      <c r="K541" s="11"/>
    </row>
    <row r="542" spans="11:11" ht="13" x14ac:dyDescent="0.15">
      <c r="K542" s="11"/>
    </row>
    <row r="543" spans="11:11" ht="13" x14ac:dyDescent="0.15">
      <c r="K543" s="11"/>
    </row>
    <row r="544" spans="11:11" ht="13" x14ac:dyDescent="0.15">
      <c r="K544" s="11"/>
    </row>
    <row r="545" spans="11:11" ht="13" x14ac:dyDescent="0.15">
      <c r="K545" s="11"/>
    </row>
    <row r="546" spans="11:11" ht="13" x14ac:dyDescent="0.15">
      <c r="K546" s="11"/>
    </row>
    <row r="547" spans="11:11" ht="13" x14ac:dyDescent="0.15">
      <c r="K547" s="11"/>
    </row>
    <row r="548" spans="11:11" ht="13" x14ac:dyDescent="0.15">
      <c r="K548" s="11"/>
    </row>
    <row r="549" spans="11:11" ht="13" x14ac:dyDescent="0.15">
      <c r="K549" s="11"/>
    </row>
    <row r="550" spans="11:11" ht="13" x14ac:dyDescent="0.15">
      <c r="K550" s="11"/>
    </row>
    <row r="551" spans="11:11" ht="13" x14ac:dyDescent="0.15">
      <c r="K551" s="11"/>
    </row>
    <row r="552" spans="11:11" ht="13" x14ac:dyDescent="0.15">
      <c r="K552" s="11"/>
    </row>
    <row r="553" spans="11:11" ht="13" x14ac:dyDescent="0.15">
      <c r="K553" s="11"/>
    </row>
    <row r="554" spans="11:11" ht="13" x14ac:dyDescent="0.15">
      <c r="K554" s="11"/>
    </row>
    <row r="555" spans="11:11" ht="13" x14ac:dyDescent="0.15">
      <c r="K555" s="11"/>
    </row>
    <row r="556" spans="11:11" ht="13" x14ac:dyDescent="0.15">
      <c r="K556" s="11"/>
    </row>
    <row r="557" spans="11:11" ht="13" x14ac:dyDescent="0.15">
      <c r="K557" s="11"/>
    </row>
    <row r="558" spans="11:11" ht="13" x14ac:dyDescent="0.15">
      <c r="K558" s="11"/>
    </row>
    <row r="559" spans="11:11" ht="13" x14ac:dyDescent="0.15">
      <c r="K559" s="11"/>
    </row>
    <row r="560" spans="11:11" ht="13" x14ac:dyDescent="0.15">
      <c r="K560" s="11"/>
    </row>
    <row r="561" spans="11:11" ht="13" x14ac:dyDescent="0.15">
      <c r="K561" s="11"/>
    </row>
    <row r="562" spans="11:11" ht="13" x14ac:dyDescent="0.15">
      <c r="K562" s="11"/>
    </row>
    <row r="563" spans="11:11" ht="13" x14ac:dyDescent="0.15">
      <c r="K563" s="11"/>
    </row>
    <row r="564" spans="11:11" ht="13" x14ac:dyDescent="0.15">
      <c r="K564" s="11"/>
    </row>
    <row r="565" spans="11:11" ht="13" x14ac:dyDescent="0.15">
      <c r="K565" s="11"/>
    </row>
    <row r="566" spans="11:11" ht="13" x14ac:dyDescent="0.15">
      <c r="K566" s="11"/>
    </row>
    <row r="567" spans="11:11" ht="13" x14ac:dyDescent="0.15">
      <c r="K567" s="11"/>
    </row>
    <row r="568" spans="11:11" ht="13" x14ac:dyDescent="0.15">
      <c r="K568" s="11"/>
    </row>
    <row r="569" spans="11:11" ht="13" x14ac:dyDescent="0.15">
      <c r="K569" s="11"/>
    </row>
    <row r="570" spans="11:11" ht="13" x14ac:dyDescent="0.15">
      <c r="K570" s="11"/>
    </row>
    <row r="571" spans="11:11" ht="13" x14ac:dyDescent="0.15">
      <c r="K571" s="11"/>
    </row>
    <row r="572" spans="11:11" ht="13" x14ac:dyDescent="0.15">
      <c r="K572" s="11"/>
    </row>
    <row r="573" spans="11:11" ht="13" x14ac:dyDescent="0.15">
      <c r="K573" s="11"/>
    </row>
    <row r="574" spans="11:11" ht="13" x14ac:dyDescent="0.15">
      <c r="K574" s="11"/>
    </row>
    <row r="575" spans="11:11" ht="13" x14ac:dyDescent="0.15">
      <c r="K575" s="11"/>
    </row>
    <row r="576" spans="11:11" ht="13" x14ac:dyDescent="0.15">
      <c r="K576" s="11"/>
    </row>
    <row r="577" spans="11:11" ht="13" x14ac:dyDescent="0.15">
      <c r="K577" s="11"/>
    </row>
    <row r="578" spans="11:11" ht="13" x14ac:dyDescent="0.15">
      <c r="K578" s="11"/>
    </row>
    <row r="579" spans="11:11" ht="13" x14ac:dyDescent="0.15">
      <c r="K579" s="11"/>
    </row>
    <row r="580" spans="11:11" ht="13" x14ac:dyDescent="0.15">
      <c r="K580" s="11"/>
    </row>
    <row r="581" spans="11:11" ht="13" x14ac:dyDescent="0.15">
      <c r="K581" s="11"/>
    </row>
    <row r="582" spans="11:11" ht="13" x14ac:dyDescent="0.15">
      <c r="K582" s="11"/>
    </row>
    <row r="583" spans="11:11" ht="13" x14ac:dyDescent="0.15">
      <c r="K583" s="11"/>
    </row>
    <row r="584" spans="11:11" ht="13" x14ac:dyDescent="0.15">
      <c r="K584" s="11"/>
    </row>
    <row r="585" spans="11:11" ht="13" x14ac:dyDescent="0.15">
      <c r="K585" s="11"/>
    </row>
    <row r="586" spans="11:11" ht="13" x14ac:dyDescent="0.15">
      <c r="K586" s="11"/>
    </row>
    <row r="587" spans="11:11" ht="13" x14ac:dyDescent="0.15">
      <c r="K587" s="11"/>
    </row>
    <row r="588" spans="11:11" ht="13" x14ac:dyDescent="0.15">
      <c r="K588" s="11"/>
    </row>
    <row r="589" spans="11:11" ht="13" x14ac:dyDescent="0.15">
      <c r="K589" s="11"/>
    </row>
    <row r="590" spans="11:11" ht="13" x14ac:dyDescent="0.15">
      <c r="K590" s="11"/>
    </row>
    <row r="591" spans="11:11" ht="13" x14ac:dyDescent="0.15">
      <c r="K591" s="11"/>
    </row>
    <row r="592" spans="11:11" ht="13" x14ac:dyDescent="0.15">
      <c r="K592" s="11"/>
    </row>
    <row r="593" spans="11:11" ht="13" x14ac:dyDescent="0.15">
      <c r="K593" s="11"/>
    </row>
    <row r="594" spans="11:11" ht="13" x14ac:dyDescent="0.15">
      <c r="K594" s="11"/>
    </row>
    <row r="595" spans="11:11" ht="13" x14ac:dyDescent="0.15">
      <c r="K595" s="11"/>
    </row>
    <row r="596" spans="11:11" ht="13" x14ac:dyDescent="0.15">
      <c r="K596" s="11"/>
    </row>
    <row r="597" spans="11:11" ht="13" x14ac:dyDescent="0.15">
      <c r="K597" s="11"/>
    </row>
    <row r="598" spans="11:11" ht="13" x14ac:dyDescent="0.15">
      <c r="K598" s="11"/>
    </row>
    <row r="599" spans="11:11" ht="13" x14ac:dyDescent="0.15">
      <c r="K599" s="11"/>
    </row>
    <row r="600" spans="11:11" ht="13" x14ac:dyDescent="0.15">
      <c r="K600" s="11"/>
    </row>
    <row r="601" spans="11:11" ht="13" x14ac:dyDescent="0.15">
      <c r="K601" s="11"/>
    </row>
    <row r="602" spans="11:11" ht="13" x14ac:dyDescent="0.15">
      <c r="K602" s="11"/>
    </row>
    <row r="603" spans="11:11" ht="13" x14ac:dyDescent="0.15">
      <c r="K603" s="11"/>
    </row>
    <row r="604" spans="11:11" ht="13" x14ac:dyDescent="0.15">
      <c r="K604" s="11"/>
    </row>
    <row r="605" spans="11:11" ht="13" x14ac:dyDescent="0.15">
      <c r="K605" s="11"/>
    </row>
    <row r="606" spans="11:11" ht="13" x14ac:dyDescent="0.15">
      <c r="K606" s="11"/>
    </row>
    <row r="607" spans="11:11" ht="13" x14ac:dyDescent="0.15">
      <c r="K607" s="11"/>
    </row>
    <row r="608" spans="11:11" ht="13" x14ac:dyDescent="0.15">
      <c r="K608" s="11"/>
    </row>
    <row r="609" spans="11:11" ht="13" x14ac:dyDescent="0.15">
      <c r="K609" s="11"/>
    </row>
    <row r="610" spans="11:11" ht="13" x14ac:dyDescent="0.15">
      <c r="K610" s="11"/>
    </row>
    <row r="611" spans="11:11" ht="13" x14ac:dyDescent="0.15">
      <c r="K611" s="11"/>
    </row>
    <row r="612" spans="11:11" ht="13" x14ac:dyDescent="0.15">
      <c r="K612" s="11"/>
    </row>
    <row r="613" spans="11:11" ht="13" x14ac:dyDescent="0.15">
      <c r="K613" s="11"/>
    </row>
    <row r="614" spans="11:11" ht="13" x14ac:dyDescent="0.15">
      <c r="K614" s="11"/>
    </row>
    <row r="615" spans="11:11" ht="13" x14ac:dyDescent="0.15">
      <c r="K615" s="11"/>
    </row>
    <row r="616" spans="11:11" ht="13" x14ac:dyDescent="0.15">
      <c r="K616" s="11"/>
    </row>
    <row r="617" spans="11:11" ht="13" x14ac:dyDescent="0.15">
      <c r="K617" s="11"/>
    </row>
    <row r="618" spans="11:11" ht="13" x14ac:dyDescent="0.15">
      <c r="K618" s="11"/>
    </row>
    <row r="619" spans="11:11" ht="13" x14ac:dyDescent="0.15">
      <c r="K619" s="11"/>
    </row>
    <row r="620" spans="11:11" ht="13" x14ac:dyDescent="0.15">
      <c r="K620" s="11"/>
    </row>
    <row r="621" spans="11:11" ht="13" x14ac:dyDescent="0.15">
      <c r="K621" s="11"/>
    </row>
    <row r="622" spans="11:11" ht="13" x14ac:dyDescent="0.15">
      <c r="K622" s="11"/>
    </row>
    <row r="623" spans="11:11" ht="13" x14ac:dyDescent="0.15">
      <c r="K623" s="11"/>
    </row>
    <row r="624" spans="11:11" ht="13" x14ac:dyDescent="0.15">
      <c r="K624" s="11"/>
    </row>
    <row r="625" spans="11:11" ht="13" x14ac:dyDescent="0.15">
      <c r="K625" s="11"/>
    </row>
    <row r="626" spans="11:11" ht="13" x14ac:dyDescent="0.15">
      <c r="K626" s="11"/>
    </row>
    <row r="627" spans="11:11" ht="13" x14ac:dyDescent="0.15">
      <c r="K627" s="11"/>
    </row>
    <row r="628" spans="11:11" ht="13" x14ac:dyDescent="0.15">
      <c r="K628" s="11"/>
    </row>
    <row r="629" spans="11:11" ht="13" x14ac:dyDescent="0.15">
      <c r="K629" s="11"/>
    </row>
    <row r="630" spans="11:11" ht="13" x14ac:dyDescent="0.15">
      <c r="K630" s="11"/>
    </row>
    <row r="631" spans="11:11" ht="13" x14ac:dyDescent="0.15">
      <c r="K631" s="11"/>
    </row>
    <row r="632" spans="11:11" ht="13" x14ac:dyDescent="0.15">
      <c r="K632" s="11"/>
    </row>
    <row r="633" spans="11:11" ht="13" x14ac:dyDescent="0.15">
      <c r="K633" s="11"/>
    </row>
    <row r="634" spans="11:11" ht="13" x14ac:dyDescent="0.15">
      <c r="K634" s="11"/>
    </row>
    <row r="635" spans="11:11" ht="13" x14ac:dyDescent="0.15">
      <c r="K635" s="11"/>
    </row>
    <row r="636" spans="11:11" ht="13" x14ac:dyDescent="0.15">
      <c r="K636" s="11"/>
    </row>
    <row r="637" spans="11:11" ht="13" x14ac:dyDescent="0.15">
      <c r="K637" s="11"/>
    </row>
    <row r="638" spans="11:11" ht="13" x14ac:dyDescent="0.15">
      <c r="K638" s="11"/>
    </row>
    <row r="639" spans="11:11" ht="13" x14ac:dyDescent="0.15">
      <c r="K639" s="11"/>
    </row>
    <row r="640" spans="11:11" ht="13" x14ac:dyDescent="0.15">
      <c r="K640" s="11"/>
    </row>
    <row r="641" spans="11:11" ht="13" x14ac:dyDescent="0.15">
      <c r="K641" s="11"/>
    </row>
    <row r="642" spans="11:11" ht="13" x14ac:dyDescent="0.15">
      <c r="K642" s="11"/>
    </row>
    <row r="643" spans="11:11" ht="13" x14ac:dyDescent="0.15">
      <c r="K643" s="11"/>
    </row>
    <row r="644" spans="11:11" ht="13" x14ac:dyDescent="0.15">
      <c r="K644" s="11"/>
    </row>
    <row r="645" spans="11:11" ht="13" x14ac:dyDescent="0.15">
      <c r="K645" s="11"/>
    </row>
    <row r="646" spans="11:11" ht="13" x14ac:dyDescent="0.15">
      <c r="K646" s="11"/>
    </row>
    <row r="647" spans="11:11" ht="13" x14ac:dyDescent="0.15">
      <c r="K647" s="11"/>
    </row>
    <row r="648" spans="11:11" ht="13" x14ac:dyDescent="0.15">
      <c r="K648" s="11"/>
    </row>
    <row r="649" spans="11:11" ht="13" x14ac:dyDescent="0.15">
      <c r="K649" s="11"/>
    </row>
    <row r="650" spans="11:11" ht="13" x14ac:dyDescent="0.15">
      <c r="K650" s="11"/>
    </row>
    <row r="651" spans="11:11" ht="13" x14ac:dyDescent="0.15">
      <c r="K651" s="11"/>
    </row>
    <row r="652" spans="11:11" ht="13" x14ac:dyDescent="0.15">
      <c r="K652" s="11"/>
    </row>
    <row r="653" spans="11:11" ht="13" x14ac:dyDescent="0.15">
      <c r="K653" s="11"/>
    </row>
    <row r="654" spans="11:11" ht="13" x14ac:dyDescent="0.15">
      <c r="K654" s="11"/>
    </row>
    <row r="655" spans="11:11" ht="13" x14ac:dyDescent="0.15">
      <c r="K655" s="11"/>
    </row>
    <row r="656" spans="11:11" ht="13" x14ac:dyDescent="0.15">
      <c r="K656" s="11"/>
    </row>
    <row r="657" spans="11:11" ht="13" x14ac:dyDescent="0.15">
      <c r="K657" s="11"/>
    </row>
    <row r="658" spans="11:11" ht="13" x14ac:dyDescent="0.15">
      <c r="K658" s="11"/>
    </row>
    <row r="659" spans="11:11" ht="13" x14ac:dyDescent="0.15">
      <c r="K659" s="11"/>
    </row>
    <row r="660" spans="11:11" ht="13" x14ac:dyDescent="0.15">
      <c r="K660" s="11"/>
    </row>
    <row r="661" spans="11:11" ht="13" x14ac:dyDescent="0.15">
      <c r="K661" s="11"/>
    </row>
    <row r="662" spans="11:11" ht="13" x14ac:dyDescent="0.15">
      <c r="K662" s="11"/>
    </row>
    <row r="663" spans="11:11" ht="13" x14ac:dyDescent="0.15">
      <c r="K663" s="11"/>
    </row>
    <row r="664" spans="11:11" ht="13" x14ac:dyDescent="0.15">
      <c r="K664" s="11"/>
    </row>
    <row r="665" spans="11:11" ht="13" x14ac:dyDescent="0.15">
      <c r="K665" s="11"/>
    </row>
    <row r="666" spans="11:11" ht="13" x14ac:dyDescent="0.15">
      <c r="K666" s="11"/>
    </row>
    <row r="667" spans="11:11" ht="13" x14ac:dyDescent="0.15">
      <c r="K667" s="11"/>
    </row>
    <row r="668" spans="11:11" ht="13" x14ac:dyDescent="0.15">
      <c r="K668" s="11"/>
    </row>
    <row r="669" spans="11:11" ht="13" x14ac:dyDescent="0.15">
      <c r="K669" s="11"/>
    </row>
    <row r="670" spans="11:11" ht="13" x14ac:dyDescent="0.15">
      <c r="K670" s="11"/>
    </row>
    <row r="671" spans="11:11" ht="13" x14ac:dyDescent="0.15">
      <c r="K671" s="11"/>
    </row>
    <row r="672" spans="11:11" ht="13" x14ac:dyDescent="0.15">
      <c r="K672" s="11"/>
    </row>
    <row r="673" spans="11:11" ht="13" x14ac:dyDescent="0.15">
      <c r="K673" s="11"/>
    </row>
    <row r="674" spans="11:11" ht="13" x14ac:dyDescent="0.15">
      <c r="K674" s="11"/>
    </row>
    <row r="675" spans="11:11" ht="13" x14ac:dyDescent="0.15">
      <c r="K675" s="11"/>
    </row>
    <row r="676" spans="11:11" ht="13" x14ac:dyDescent="0.15">
      <c r="K676" s="11"/>
    </row>
    <row r="677" spans="11:11" ht="13" x14ac:dyDescent="0.15">
      <c r="K677" s="11"/>
    </row>
    <row r="678" spans="11:11" ht="13" x14ac:dyDescent="0.15">
      <c r="K678" s="11"/>
    </row>
    <row r="679" spans="11:11" ht="13" x14ac:dyDescent="0.15">
      <c r="K679" s="11"/>
    </row>
    <row r="680" spans="11:11" ht="13" x14ac:dyDescent="0.15">
      <c r="K680" s="11"/>
    </row>
    <row r="681" spans="11:11" ht="13" x14ac:dyDescent="0.15">
      <c r="K681" s="11"/>
    </row>
    <row r="682" spans="11:11" ht="13" x14ac:dyDescent="0.15">
      <c r="K682" s="11"/>
    </row>
    <row r="683" spans="11:11" ht="13" x14ac:dyDescent="0.15">
      <c r="K683" s="11"/>
    </row>
    <row r="684" spans="11:11" ht="13" x14ac:dyDescent="0.15">
      <c r="K684" s="11"/>
    </row>
    <row r="685" spans="11:11" ht="13" x14ac:dyDescent="0.15">
      <c r="K685" s="11"/>
    </row>
    <row r="686" spans="11:11" ht="13" x14ac:dyDescent="0.15">
      <c r="K686" s="11"/>
    </row>
    <row r="687" spans="11:11" ht="13" x14ac:dyDescent="0.15">
      <c r="K687" s="11"/>
    </row>
    <row r="688" spans="11:11" ht="13" x14ac:dyDescent="0.15">
      <c r="K688" s="11"/>
    </row>
    <row r="689" spans="11:11" ht="13" x14ac:dyDescent="0.15">
      <c r="K689" s="11"/>
    </row>
    <row r="690" spans="11:11" ht="13" x14ac:dyDescent="0.15">
      <c r="K690" s="11"/>
    </row>
    <row r="691" spans="11:11" ht="13" x14ac:dyDescent="0.15">
      <c r="K691" s="11"/>
    </row>
    <row r="692" spans="11:11" ht="13" x14ac:dyDescent="0.15">
      <c r="K692" s="11"/>
    </row>
    <row r="693" spans="11:11" ht="13" x14ac:dyDescent="0.15">
      <c r="K693" s="11"/>
    </row>
    <row r="694" spans="11:11" ht="13" x14ac:dyDescent="0.15">
      <c r="K694" s="11"/>
    </row>
    <row r="695" spans="11:11" ht="13" x14ac:dyDescent="0.15">
      <c r="K695" s="11"/>
    </row>
    <row r="696" spans="11:11" ht="13" x14ac:dyDescent="0.15">
      <c r="K696" s="11"/>
    </row>
    <row r="697" spans="11:11" ht="13" x14ac:dyDescent="0.15">
      <c r="K697" s="11"/>
    </row>
    <row r="698" spans="11:11" ht="13" x14ac:dyDescent="0.15">
      <c r="K698" s="11"/>
    </row>
    <row r="699" spans="11:11" ht="13" x14ac:dyDescent="0.15">
      <c r="K699" s="11"/>
    </row>
    <row r="700" spans="11:11" ht="13" x14ac:dyDescent="0.15">
      <c r="K700" s="11"/>
    </row>
    <row r="701" spans="11:11" ht="13" x14ac:dyDescent="0.15">
      <c r="K701" s="11"/>
    </row>
    <row r="702" spans="11:11" ht="13" x14ac:dyDescent="0.15">
      <c r="K702" s="11"/>
    </row>
    <row r="703" spans="11:11" ht="13" x14ac:dyDescent="0.15">
      <c r="K703" s="11"/>
    </row>
    <row r="704" spans="11:11" ht="13" x14ac:dyDescent="0.15">
      <c r="K704" s="11"/>
    </row>
    <row r="705" spans="11:11" ht="13" x14ac:dyDescent="0.15">
      <c r="K705" s="11"/>
    </row>
    <row r="706" spans="11:11" ht="13" x14ac:dyDescent="0.15">
      <c r="K706" s="11"/>
    </row>
    <row r="707" spans="11:11" ht="13" x14ac:dyDescent="0.15">
      <c r="K707" s="11"/>
    </row>
    <row r="708" spans="11:11" ht="13" x14ac:dyDescent="0.15">
      <c r="K708" s="11"/>
    </row>
    <row r="709" spans="11:11" ht="13" x14ac:dyDescent="0.15">
      <c r="K709" s="11"/>
    </row>
    <row r="710" spans="11:11" ht="13" x14ac:dyDescent="0.15">
      <c r="K710" s="11"/>
    </row>
    <row r="711" spans="11:11" ht="13" x14ac:dyDescent="0.15">
      <c r="K711" s="11"/>
    </row>
    <row r="712" spans="11:11" ht="13" x14ac:dyDescent="0.15">
      <c r="K712" s="11"/>
    </row>
    <row r="713" spans="11:11" ht="13" x14ac:dyDescent="0.15">
      <c r="K713" s="11"/>
    </row>
    <row r="714" spans="11:11" ht="13" x14ac:dyDescent="0.15">
      <c r="K714" s="11"/>
    </row>
    <row r="715" spans="11:11" ht="13" x14ac:dyDescent="0.15">
      <c r="K715" s="11"/>
    </row>
    <row r="716" spans="11:11" ht="13" x14ac:dyDescent="0.15">
      <c r="K716" s="11"/>
    </row>
    <row r="717" spans="11:11" ht="13" x14ac:dyDescent="0.15">
      <c r="K717" s="11"/>
    </row>
    <row r="718" spans="11:11" ht="13" x14ac:dyDescent="0.15">
      <c r="K718" s="11"/>
    </row>
    <row r="719" spans="11:11" ht="13" x14ac:dyDescent="0.15">
      <c r="K719" s="11"/>
    </row>
    <row r="720" spans="11:11" ht="13" x14ac:dyDescent="0.15">
      <c r="K720" s="11"/>
    </row>
    <row r="721" spans="11:11" ht="13" x14ac:dyDescent="0.15">
      <c r="K721" s="11"/>
    </row>
    <row r="722" spans="11:11" ht="13" x14ac:dyDescent="0.15">
      <c r="K722" s="11"/>
    </row>
    <row r="723" spans="11:11" ht="13" x14ac:dyDescent="0.15">
      <c r="K723" s="11"/>
    </row>
    <row r="724" spans="11:11" ht="13" x14ac:dyDescent="0.15">
      <c r="K724" s="11"/>
    </row>
    <row r="725" spans="11:11" ht="13" x14ac:dyDescent="0.15">
      <c r="K725" s="11"/>
    </row>
    <row r="726" spans="11:11" ht="13" x14ac:dyDescent="0.15">
      <c r="K726" s="11"/>
    </row>
    <row r="727" spans="11:11" ht="13" x14ac:dyDescent="0.15">
      <c r="K727" s="11"/>
    </row>
    <row r="728" spans="11:11" ht="13" x14ac:dyDescent="0.15">
      <c r="K728" s="11"/>
    </row>
    <row r="729" spans="11:11" ht="13" x14ac:dyDescent="0.15">
      <c r="K729" s="11"/>
    </row>
    <row r="730" spans="11:11" ht="13" x14ac:dyDescent="0.15">
      <c r="K730" s="11"/>
    </row>
    <row r="731" spans="11:11" ht="13" x14ac:dyDescent="0.15">
      <c r="K731" s="11"/>
    </row>
    <row r="732" spans="11:11" ht="13" x14ac:dyDescent="0.15">
      <c r="K732" s="11"/>
    </row>
    <row r="733" spans="11:11" ht="13" x14ac:dyDescent="0.15">
      <c r="K733" s="11"/>
    </row>
    <row r="734" spans="11:11" ht="13" x14ac:dyDescent="0.15">
      <c r="K734" s="11"/>
    </row>
    <row r="735" spans="11:11" ht="13" x14ac:dyDescent="0.15">
      <c r="K735" s="11"/>
    </row>
    <row r="736" spans="11:11" ht="13" x14ac:dyDescent="0.15">
      <c r="K736" s="11"/>
    </row>
    <row r="737" spans="11:11" ht="13" x14ac:dyDescent="0.15">
      <c r="K737" s="11"/>
    </row>
    <row r="738" spans="11:11" ht="13" x14ac:dyDescent="0.15">
      <c r="K738" s="11"/>
    </row>
    <row r="739" spans="11:11" ht="13" x14ac:dyDescent="0.15">
      <c r="K739" s="11"/>
    </row>
    <row r="740" spans="11:11" ht="13" x14ac:dyDescent="0.15">
      <c r="K740" s="11"/>
    </row>
    <row r="741" spans="11:11" ht="13" x14ac:dyDescent="0.15">
      <c r="K741" s="11"/>
    </row>
    <row r="742" spans="11:11" ht="13" x14ac:dyDescent="0.15">
      <c r="K742" s="11"/>
    </row>
    <row r="743" spans="11:11" ht="13" x14ac:dyDescent="0.15">
      <c r="K743" s="11"/>
    </row>
    <row r="744" spans="11:11" ht="13" x14ac:dyDescent="0.15">
      <c r="K744" s="11"/>
    </row>
    <row r="745" spans="11:11" ht="13" x14ac:dyDescent="0.15">
      <c r="K745" s="11"/>
    </row>
    <row r="746" spans="11:11" ht="13" x14ac:dyDescent="0.15">
      <c r="K746" s="11"/>
    </row>
    <row r="747" spans="11:11" ht="13" x14ac:dyDescent="0.15">
      <c r="K747" s="11"/>
    </row>
    <row r="748" spans="11:11" ht="13" x14ac:dyDescent="0.15">
      <c r="K748" s="11"/>
    </row>
    <row r="749" spans="11:11" ht="13" x14ac:dyDescent="0.15">
      <c r="K749" s="11"/>
    </row>
    <row r="750" spans="11:11" ht="13" x14ac:dyDescent="0.15">
      <c r="K750" s="11"/>
    </row>
    <row r="751" spans="11:11" ht="13" x14ac:dyDescent="0.15">
      <c r="K751" s="11"/>
    </row>
    <row r="752" spans="11:11" ht="13" x14ac:dyDescent="0.15">
      <c r="K752" s="11"/>
    </row>
    <row r="753" spans="11:11" ht="13" x14ac:dyDescent="0.15">
      <c r="K753" s="11"/>
    </row>
    <row r="754" spans="11:11" ht="13" x14ac:dyDescent="0.15">
      <c r="K754" s="11"/>
    </row>
    <row r="755" spans="11:11" ht="13" x14ac:dyDescent="0.15">
      <c r="K755" s="11"/>
    </row>
    <row r="756" spans="11:11" ht="13" x14ac:dyDescent="0.15">
      <c r="K756" s="11"/>
    </row>
    <row r="757" spans="11:11" ht="13" x14ac:dyDescent="0.15">
      <c r="K757" s="11"/>
    </row>
    <row r="758" spans="11:11" ht="13" x14ac:dyDescent="0.15">
      <c r="K758" s="11"/>
    </row>
    <row r="759" spans="11:11" ht="13" x14ac:dyDescent="0.15">
      <c r="K759" s="11"/>
    </row>
    <row r="760" spans="11:11" ht="13" x14ac:dyDescent="0.15">
      <c r="K760" s="11"/>
    </row>
    <row r="761" spans="11:11" ht="13" x14ac:dyDescent="0.15">
      <c r="K761" s="11"/>
    </row>
    <row r="762" spans="11:11" ht="13" x14ac:dyDescent="0.15">
      <c r="K762" s="11"/>
    </row>
    <row r="763" spans="11:11" ht="13" x14ac:dyDescent="0.15">
      <c r="K763" s="11"/>
    </row>
    <row r="764" spans="11:11" ht="13" x14ac:dyDescent="0.15">
      <c r="K764" s="11"/>
    </row>
    <row r="765" spans="11:11" ht="13" x14ac:dyDescent="0.15">
      <c r="K765" s="11"/>
    </row>
    <row r="766" spans="11:11" ht="13" x14ac:dyDescent="0.15">
      <c r="K766" s="11"/>
    </row>
    <row r="767" spans="11:11" ht="13" x14ac:dyDescent="0.15">
      <c r="K767" s="11"/>
    </row>
    <row r="768" spans="11:11" ht="13" x14ac:dyDescent="0.15">
      <c r="K768" s="11"/>
    </row>
    <row r="769" spans="11:11" ht="13" x14ac:dyDescent="0.15">
      <c r="K769" s="11"/>
    </row>
    <row r="770" spans="11:11" ht="13" x14ac:dyDescent="0.15">
      <c r="K770" s="11"/>
    </row>
    <row r="771" spans="11:11" ht="13" x14ac:dyDescent="0.15">
      <c r="K771" s="11"/>
    </row>
    <row r="772" spans="11:11" ht="13" x14ac:dyDescent="0.15">
      <c r="K772" s="11"/>
    </row>
    <row r="773" spans="11:11" ht="13" x14ac:dyDescent="0.15">
      <c r="K773" s="11"/>
    </row>
    <row r="774" spans="11:11" ht="13" x14ac:dyDescent="0.15">
      <c r="K774" s="11"/>
    </row>
    <row r="775" spans="11:11" ht="13" x14ac:dyDescent="0.15">
      <c r="K775" s="11"/>
    </row>
    <row r="776" spans="11:11" ht="13" x14ac:dyDescent="0.15">
      <c r="K776" s="11"/>
    </row>
    <row r="777" spans="11:11" ht="13" x14ac:dyDescent="0.15">
      <c r="K777" s="11"/>
    </row>
    <row r="778" spans="11:11" ht="13" x14ac:dyDescent="0.15">
      <c r="K778" s="11"/>
    </row>
    <row r="779" spans="11:11" ht="13" x14ac:dyDescent="0.15">
      <c r="K779" s="11"/>
    </row>
    <row r="780" spans="11:11" ht="13" x14ac:dyDescent="0.15">
      <c r="K780" s="11"/>
    </row>
    <row r="781" spans="11:11" ht="13" x14ac:dyDescent="0.15">
      <c r="K781" s="11"/>
    </row>
    <row r="782" spans="11:11" ht="13" x14ac:dyDescent="0.15">
      <c r="K782" s="11"/>
    </row>
    <row r="783" spans="11:11" ht="13" x14ac:dyDescent="0.15">
      <c r="K783" s="11"/>
    </row>
    <row r="784" spans="11:11" ht="13" x14ac:dyDescent="0.15">
      <c r="K784" s="11"/>
    </row>
    <row r="785" spans="11:11" ht="13" x14ac:dyDescent="0.15">
      <c r="K785" s="11"/>
    </row>
    <row r="786" spans="11:11" ht="13" x14ac:dyDescent="0.15">
      <c r="K786" s="11"/>
    </row>
    <row r="787" spans="11:11" ht="13" x14ac:dyDescent="0.15">
      <c r="K787" s="11"/>
    </row>
    <row r="788" spans="11:11" ht="13" x14ac:dyDescent="0.15">
      <c r="K788" s="11"/>
    </row>
    <row r="789" spans="11:11" ht="13" x14ac:dyDescent="0.15">
      <c r="K789" s="11"/>
    </row>
    <row r="790" spans="11:11" ht="13" x14ac:dyDescent="0.15">
      <c r="K790" s="11"/>
    </row>
    <row r="791" spans="11:11" ht="13" x14ac:dyDescent="0.15">
      <c r="K791" s="11"/>
    </row>
    <row r="792" spans="11:11" ht="13" x14ac:dyDescent="0.15">
      <c r="K792" s="11"/>
    </row>
    <row r="793" spans="11:11" ht="13" x14ac:dyDescent="0.15">
      <c r="K793" s="11"/>
    </row>
    <row r="794" spans="11:11" ht="13" x14ac:dyDescent="0.15">
      <c r="K794" s="11"/>
    </row>
    <row r="795" spans="11:11" ht="13" x14ac:dyDescent="0.15">
      <c r="K795" s="11"/>
    </row>
    <row r="796" spans="11:11" ht="13" x14ac:dyDescent="0.15">
      <c r="K796" s="11"/>
    </row>
    <row r="797" spans="11:11" ht="13" x14ac:dyDescent="0.15">
      <c r="K797" s="11"/>
    </row>
    <row r="798" spans="11:11" ht="13" x14ac:dyDescent="0.15">
      <c r="K798" s="11"/>
    </row>
    <row r="799" spans="11:11" ht="13" x14ac:dyDescent="0.15">
      <c r="K799" s="11"/>
    </row>
    <row r="800" spans="11:11" ht="13" x14ac:dyDescent="0.15">
      <c r="K800" s="11"/>
    </row>
    <row r="801" spans="11:11" ht="13" x14ac:dyDescent="0.15">
      <c r="K801" s="11"/>
    </row>
    <row r="802" spans="11:11" ht="13" x14ac:dyDescent="0.15">
      <c r="K802" s="11"/>
    </row>
    <row r="803" spans="11:11" ht="13" x14ac:dyDescent="0.15">
      <c r="K803" s="11"/>
    </row>
    <row r="804" spans="11:11" ht="13" x14ac:dyDescent="0.15">
      <c r="K804" s="11"/>
    </row>
    <row r="805" spans="11:11" ht="13" x14ac:dyDescent="0.15">
      <c r="K805" s="11"/>
    </row>
    <row r="806" spans="11:11" ht="13" x14ac:dyDescent="0.15">
      <c r="K806" s="11"/>
    </row>
    <row r="807" spans="11:11" ht="13" x14ac:dyDescent="0.15">
      <c r="K807" s="11"/>
    </row>
    <row r="808" spans="11:11" ht="13" x14ac:dyDescent="0.15">
      <c r="K808" s="11"/>
    </row>
    <row r="809" spans="11:11" ht="13" x14ac:dyDescent="0.15">
      <c r="K809" s="11"/>
    </row>
    <row r="810" spans="11:11" ht="13" x14ac:dyDescent="0.15">
      <c r="K810" s="11"/>
    </row>
    <row r="811" spans="11:11" ht="13" x14ac:dyDescent="0.15">
      <c r="K811" s="11"/>
    </row>
    <row r="812" spans="11:11" ht="13" x14ac:dyDescent="0.15">
      <c r="K812" s="11"/>
    </row>
    <row r="813" spans="11:11" ht="13" x14ac:dyDescent="0.15">
      <c r="K813" s="11"/>
    </row>
    <row r="814" spans="11:11" ht="13" x14ac:dyDescent="0.15">
      <c r="K814" s="11"/>
    </row>
    <row r="815" spans="11:11" ht="13" x14ac:dyDescent="0.15">
      <c r="K815" s="11"/>
    </row>
    <row r="816" spans="11:11" ht="13" x14ac:dyDescent="0.15">
      <c r="K816" s="11"/>
    </row>
    <row r="817" spans="11:11" ht="13" x14ac:dyDescent="0.15">
      <c r="K817" s="11"/>
    </row>
    <row r="818" spans="11:11" ht="13" x14ac:dyDescent="0.15">
      <c r="K818" s="11"/>
    </row>
    <row r="819" spans="11:11" ht="13" x14ac:dyDescent="0.15">
      <c r="K819" s="11"/>
    </row>
    <row r="820" spans="11:11" ht="13" x14ac:dyDescent="0.15">
      <c r="K820" s="11"/>
    </row>
    <row r="821" spans="11:11" ht="13" x14ac:dyDescent="0.15">
      <c r="K821" s="11"/>
    </row>
    <row r="822" spans="11:11" ht="13" x14ac:dyDescent="0.15">
      <c r="K822" s="11"/>
    </row>
    <row r="823" spans="11:11" ht="13" x14ac:dyDescent="0.15">
      <c r="K823" s="11"/>
    </row>
    <row r="824" spans="11:11" ht="13" x14ac:dyDescent="0.15">
      <c r="K824" s="11"/>
    </row>
    <row r="825" spans="11:11" ht="13" x14ac:dyDescent="0.15">
      <c r="K825" s="11"/>
    </row>
    <row r="826" spans="11:11" ht="13" x14ac:dyDescent="0.15">
      <c r="K826" s="11"/>
    </row>
    <row r="827" spans="11:11" ht="13" x14ac:dyDescent="0.15">
      <c r="K827" s="11"/>
    </row>
    <row r="828" spans="11:11" ht="13" x14ac:dyDescent="0.15">
      <c r="K828" s="11"/>
    </row>
    <row r="829" spans="11:11" ht="13" x14ac:dyDescent="0.15">
      <c r="K829" s="11"/>
    </row>
    <row r="830" spans="11:11" ht="13" x14ac:dyDescent="0.15">
      <c r="K830" s="11"/>
    </row>
    <row r="831" spans="11:11" ht="13" x14ac:dyDescent="0.15">
      <c r="K831" s="11"/>
    </row>
    <row r="832" spans="11:11" ht="13" x14ac:dyDescent="0.15">
      <c r="K832" s="11"/>
    </row>
    <row r="833" spans="11:11" ht="13" x14ac:dyDescent="0.15">
      <c r="K833" s="11"/>
    </row>
    <row r="834" spans="11:11" ht="13" x14ac:dyDescent="0.15">
      <c r="K834" s="11"/>
    </row>
    <row r="835" spans="11:11" ht="13" x14ac:dyDescent="0.15">
      <c r="K835" s="11"/>
    </row>
    <row r="836" spans="11:11" ht="13" x14ac:dyDescent="0.15">
      <c r="K836" s="11"/>
    </row>
    <row r="837" spans="11:11" ht="13" x14ac:dyDescent="0.15">
      <c r="K837" s="11"/>
    </row>
    <row r="838" spans="11:11" ht="13" x14ac:dyDescent="0.15">
      <c r="K838" s="11"/>
    </row>
    <row r="839" spans="11:11" ht="13" x14ac:dyDescent="0.15">
      <c r="K839" s="11"/>
    </row>
    <row r="840" spans="11:11" ht="13" x14ac:dyDescent="0.15">
      <c r="K840" s="11"/>
    </row>
    <row r="841" spans="11:11" ht="13" x14ac:dyDescent="0.15">
      <c r="K841" s="11"/>
    </row>
    <row r="842" spans="11:11" ht="13" x14ac:dyDescent="0.15">
      <c r="K842" s="11"/>
    </row>
    <row r="843" spans="11:11" ht="13" x14ac:dyDescent="0.15">
      <c r="K843" s="11"/>
    </row>
    <row r="844" spans="11:11" ht="13" x14ac:dyDescent="0.15">
      <c r="K844" s="11"/>
    </row>
    <row r="845" spans="11:11" ht="13" x14ac:dyDescent="0.15">
      <c r="K845" s="11"/>
    </row>
    <row r="846" spans="11:11" ht="13" x14ac:dyDescent="0.15">
      <c r="K846" s="11"/>
    </row>
    <row r="847" spans="11:11" ht="13" x14ac:dyDescent="0.15">
      <c r="K847" s="11"/>
    </row>
    <row r="848" spans="11:11" ht="13" x14ac:dyDescent="0.15">
      <c r="K848" s="11"/>
    </row>
    <row r="849" spans="11:11" ht="13" x14ac:dyDescent="0.15">
      <c r="K849" s="11"/>
    </row>
    <row r="850" spans="11:11" ht="13" x14ac:dyDescent="0.15">
      <c r="K850" s="11"/>
    </row>
    <row r="851" spans="11:11" ht="13" x14ac:dyDescent="0.15">
      <c r="K851" s="11"/>
    </row>
    <row r="852" spans="11:11" ht="13" x14ac:dyDescent="0.15">
      <c r="K852" s="11"/>
    </row>
    <row r="853" spans="11:11" ht="13" x14ac:dyDescent="0.15">
      <c r="K853" s="11"/>
    </row>
    <row r="854" spans="11:11" ht="13" x14ac:dyDescent="0.15">
      <c r="K854" s="11"/>
    </row>
    <row r="855" spans="11:11" ht="13" x14ac:dyDescent="0.15">
      <c r="K855" s="11"/>
    </row>
    <row r="856" spans="11:11" ht="13" x14ac:dyDescent="0.15">
      <c r="K856" s="11"/>
    </row>
    <row r="857" spans="11:11" ht="13" x14ac:dyDescent="0.15">
      <c r="K857" s="11"/>
    </row>
    <row r="858" spans="11:11" ht="13" x14ac:dyDescent="0.15">
      <c r="K858" s="11"/>
    </row>
    <row r="859" spans="11:11" ht="13" x14ac:dyDescent="0.15">
      <c r="K859" s="11"/>
    </row>
    <row r="860" spans="11:11" ht="13" x14ac:dyDescent="0.15">
      <c r="K860" s="11"/>
    </row>
    <row r="861" spans="11:11" ht="13" x14ac:dyDescent="0.15">
      <c r="K861" s="11"/>
    </row>
    <row r="862" spans="11:11" ht="13" x14ac:dyDescent="0.15">
      <c r="K862" s="11"/>
    </row>
    <row r="863" spans="11:11" ht="13" x14ac:dyDescent="0.15">
      <c r="K863" s="11"/>
    </row>
    <row r="864" spans="11:11" ht="13" x14ac:dyDescent="0.15">
      <c r="K864" s="11"/>
    </row>
    <row r="865" spans="11:11" ht="13" x14ac:dyDescent="0.15">
      <c r="K865" s="11"/>
    </row>
    <row r="866" spans="11:11" ht="13" x14ac:dyDescent="0.15">
      <c r="K866" s="11"/>
    </row>
    <row r="867" spans="11:11" ht="13" x14ac:dyDescent="0.15">
      <c r="K867" s="11"/>
    </row>
    <row r="868" spans="11:11" ht="13" x14ac:dyDescent="0.15">
      <c r="K868" s="11"/>
    </row>
    <row r="869" spans="11:11" ht="13" x14ac:dyDescent="0.15">
      <c r="K869" s="11"/>
    </row>
    <row r="870" spans="11:11" ht="13" x14ac:dyDescent="0.15">
      <c r="K870" s="11"/>
    </row>
    <row r="871" spans="11:11" ht="13" x14ac:dyDescent="0.15">
      <c r="K871" s="11"/>
    </row>
    <row r="872" spans="11:11" ht="13" x14ac:dyDescent="0.15">
      <c r="K872" s="11"/>
    </row>
    <row r="873" spans="11:11" ht="13" x14ac:dyDescent="0.15">
      <c r="K873" s="11"/>
    </row>
    <row r="874" spans="11:11" ht="13" x14ac:dyDescent="0.15">
      <c r="K874" s="11"/>
    </row>
    <row r="875" spans="11:11" ht="13" x14ac:dyDescent="0.15">
      <c r="K875" s="11"/>
    </row>
    <row r="876" spans="11:11" ht="13" x14ac:dyDescent="0.15">
      <c r="K876" s="11"/>
    </row>
    <row r="877" spans="11:11" ht="13" x14ac:dyDescent="0.15">
      <c r="K877" s="11"/>
    </row>
    <row r="878" spans="11:11" ht="13" x14ac:dyDescent="0.15">
      <c r="K878" s="11"/>
    </row>
    <row r="879" spans="11:11" ht="13" x14ac:dyDescent="0.15">
      <c r="K879" s="11"/>
    </row>
    <row r="880" spans="11:11" ht="13" x14ac:dyDescent="0.15">
      <c r="K880" s="11"/>
    </row>
    <row r="881" spans="11:11" ht="13" x14ac:dyDescent="0.15">
      <c r="K881" s="11"/>
    </row>
    <row r="882" spans="11:11" ht="13" x14ac:dyDescent="0.15">
      <c r="K882" s="11"/>
    </row>
    <row r="883" spans="11:11" ht="13" x14ac:dyDescent="0.15">
      <c r="K883" s="11"/>
    </row>
    <row r="884" spans="11:11" ht="13" x14ac:dyDescent="0.15">
      <c r="K884" s="11"/>
    </row>
    <row r="885" spans="11:11" ht="13" x14ac:dyDescent="0.15">
      <c r="K885" s="11"/>
    </row>
    <row r="886" spans="11:11" ht="13" x14ac:dyDescent="0.15">
      <c r="K886" s="11"/>
    </row>
    <row r="887" spans="11:11" ht="13" x14ac:dyDescent="0.15">
      <c r="K887" s="11"/>
    </row>
    <row r="888" spans="11:11" ht="13" x14ac:dyDescent="0.15">
      <c r="K888" s="11"/>
    </row>
    <row r="889" spans="11:11" ht="13" x14ac:dyDescent="0.15">
      <c r="K889" s="11"/>
    </row>
    <row r="890" spans="11:11" ht="13" x14ac:dyDescent="0.15">
      <c r="K890" s="11"/>
    </row>
    <row r="891" spans="11:11" ht="13" x14ac:dyDescent="0.15">
      <c r="K891" s="11"/>
    </row>
    <row r="892" spans="11:11" ht="13" x14ac:dyDescent="0.15">
      <c r="K892" s="11"/>
    </row>
    <row r="893" spans="11:11" ht="13" x14ac:dyDescent="0.15">
      <c r="K893" s="11"/>
    </row>
    <row r="894" spans="11:11" ht="13" x14ac:dyDescent="0.15">
      <c r="K894" s="11"/>
    </row>
    <row r="895" spans="11:11" ht="13" x14ac:dyDescent="0.15">
      <c r="K895" s="11"/>
    </row>
    <row r="896" spans="11:11" ht="13" x14ac:dyDescent="0.15">
      <c r="K896" s="11"/>
    </row>
    <row r="897" spans="11:11" ht="13" x14ac:dyDescent="0.15">
      <c r="K897" s="11"/>
    </row>
    <row r="898" spans="11:11" ht="13" x14ac:dyDescent="0.15">
      <c r="K898" s="11"/>
    </row>
    <row r="899" spans="11:11" ht="13" x14ac:dyDescent="0.15">
      <c r="K899" s="11"/>
    </row>
    <row r="900" spans="11:11" ht="13" x14ac:dyDescent="0.15">
      <c r="K900" s="11"/>
    </row>
    <row r="901" spans="11:11" ht="13" x14ac:dyDescent="0.15">
      <c r="K901" s="11"/>
    </row>
    <row r="902" spans="11:11" ht="13" x14ac:dyDescent="0.15">
      <c r="K902" s="11"/>
    </row>
    <row r="903" spans="11:11" ht="13" x14ac:dyDescent="0.15">
      <c r="K903" s="11"/>
    </row>
    <row r="904" spans="11:11" ht="13" x14ac:dyDescent="0.15">
      <c r="K904" s="11"/>
    </row>
    <row r="905" spans="11:11" ht="13" x14ac:dyDescent="0.15">
      <c r="K905" s="11"/>
    </row>
    <row r="906" spans="11:11" ht="13" x14ac:dyDescent="0.15">
      <c r="K906" s="11"/>
    </row>
    <row r="907" spans="11:11" ht="13" x14ac:dyDescent="0.15">
      <c r="K907" s="11"/>
    </row>
    <row r="908" spans="11:11" ht="13" x14ac:dyDescent="0.15">
      <c r="K908" s="11"/>
    </row>
    <row r="909" spans="11:11" ht="13" x14ac:dyDescent="0.15">
      <c r="K909" s="11"/>
    </row>
    <row r="910" spans="11:11" ht="13" x14ac:dyDescent="0.15">
      <c r="K910" s="11"/>
    </row>
    <row r="911" spans="11:11" ht="13" x14ac:dyDescent="0.15">
      <c r="K911" s="11"/>
    </row>
    <row r="912" spans="11:11" ht="13" x14ac:dyDescent="0.15">
      <c r="K912" s="11"/>
    </row>
    <row r="913" spans="11:11" ht="13" x14ac:dyDescent="0.15">
      <c r="K913" s="11"/>
    </row>
    <row r="914" spans="11:11" ht="13" x14ac:dyDescent="0.15">
      <c r="K914" s="11"/>
    </row>
    <row r="915" spans="11:11" ht="13" x14ac:dyDescent="0.15">
      <c r="K915" s="11"/>
    </row>
    <row r="916" spans="11:11" ht="13" x14ac:dyDescent="0.15">
      <c r="K916" s="11"/>
    </row>
    <row r="917" spans="11:11" ht="13" x14ac:dyDescent="0.15">
      <c r="K917" s="11"/>
    </row>
    <row r="918" spans="11:11" ht="13" x14ac:dyDescent="0.15">
      <c r="K918" s="11"/>
    </row>
    <row r="919" spans="11:11" ht="13" x14ac:dyDescent="0.15">
      <c r="K919" s="11"/>
    </row>
    <row r="920" spans="11:11" ht="13" x14ac:dyDescent="0.15">
      <c r="K920" s="11"/>
    </row>
    <row r="921" spans="11:11" ht="13" x14ac:dyDescent="0.15">
      <c r="K921" s="11"/>
    </row>
    <row r="922" spans="11:11" ht="13" x14ac:dyDescent="0.15">
      <c r="K922" s="11"/>
    </row>
    <row r="923" spans="11:11" ht="13" x14ac:dyDescent="0.15">
      <c r="K923" s="11"/>
    </row>
    <row r="924" spans="11:11" ht="13" x14ac:dyDescent="0.15">
      <c r="K924" s="11"/>
    </row>
    <row r="925" spans="11:11" ht="13" x14ac:dyDescent="0.15">
      <c r="K925" s="11"/>
    </row>
    <row r="926" spans="11:11" ht="13" x14ac:dyDescent="0.15">
      <c r="K926" s="11"/>
    </row>
    <row r="927" spans="11:11" ht="13" x14ac:dyDescent="0.15">
      <c r="K927" s="11"/>
    </row>
    <row r="928" spans="11:11" ht="13" x14ac:dyDescent="0.15">
      <c r="K928" s="11"/>
    </row>
    <row r="929" spans="11:11" ht="13" x14ac:dyDescent="0.15">
      <c r="K929" s="11"/>
    </row>
    <row r="930" spans="11:11" ht="13" x14ac:dyDescent="0.15">
      <c r="K930" s="11"/>
    </row>
    <row r="931" spans="11:11" ht="13" x14ac:dyDescent="0.15">
      <c r="K931" s="11"/>
    </row>
    <row r="932" spans="11:11" ht="13" x14ac:dyDescent="0.15">
      <c r="K932" s="11"/>
    </row>
    <row r="933" spans="11:11" ht="13" x14ac:dyDescent="0.15">
      <c r="K933" s="11"/>
    </row>
    <row r="934" spans="11:11" ht="13" x14ac:dyDescent="0.15">
      <c r="K934" s="11"/>
    </row>
    <row r="935" spans="11:11" ht="13" x14ac:dyDescent="0.15">
      <c r="K935" s="11"/>
    </row>
    <row r="936" spans="11:11" ht="13" x14ac:dyDescent="0.15">
      <c r="K936" s="11"/>
    </row>
    <row r="937" spans="11:11" ht="13" x14ac:dyDescent="0.15">
      <c r="K937" s="11"/>
    </row>
    <row r="938" spans="11:11" ht="13" x14ac:dyDescent="0.15">
      <c r="K938" s="11"/>
    </row>
    <row r="939" spans="11:11" ht="13" x14ac:dyDescent="0.15">
      <c r="K939" s="11"/>
    </row>
    <row r="940" spans="11:11" ht="13" x14ac:dyDescent="0.15">
      <c r="K940" s="11"/>
    </row>
    <row r="941" spans="11:11" ht="13" x14ac:dyDescent="0.15">
      <c r="K941" s="11"/>
    </row>
    <row r="942" spans="11:11" ht="13" x14ac:dyDescent="0.15">
      <c r="K942" s="11"/>
    </row>
    <row r="943" spans="11:11" ht="13" x14ac:dyDescent="0.15">
      <c r="K943" s="11"/>
    </row>
    <row r="944" spans="11:11" ht="13" x14ac:dyDescent="0.15">
      <c r="K944" s="11"/>
    </row>
    <row r="945" spans="11:11" ht="13" x14ac:dyDescent="0.15">
      <c r="K945" s="11"/>
    </row>
    <row r="946" spans="11:11" ht="13" x14ac:dyDescent="0.15">
      <c r="K946" s="11"/>
    </row>
    <row r="947" spans="11:11" ht="13" x14ac:dyDescent="0.15">
      <c r="K947" s="11"/>
    </row>
    <row r="948" spans="11:11" ht="13" x14ac:dyDescent="0.15">
      <c r="K948" s="11"/>
    </row>
    <row r="949" spans="11:11" ht="13" x14ac:dyDescent="0.15">
      <c r="K949" s="11"/>
    </row>
    <row r="950" spans="11:11" ht="13" x14ac:dyDescent="0.15">
      <c r="K950" s="11"/>
    </row>
    <row r="951" spans="11:11" ht="13" x14ac:dyDescent="0.15">
      <c r="K951" s="11"/>
    </row>
    <row r="952" spans="11:11" ht="13" x14ac:dyDescent="0.15">
      <c r="K952" s="11"/>
    </row>
    <row r="953" spans="11:11" ht="13" x14ac:dyDescent="0.15">
      <c r="K953" s="11"/>
    </row>
    <row r="954" spans="11:11" ht="13" x14ac:dyDescent="0.15">
      <c r="K954" s="11"/>
    </row>
    <row r="955" spans="11:11" ht="13" x14ac:dyDescent="0.15">
      <c r="K955" s="11"/>
    </row>
    <row r="956" spans="11:11" ht="13" x14ac:dyDescent="0.15">
      <c r="K956" s="11"/>
    </row>
    <row r="957" spans="11:11" ht="13" x14ac:dyDescent="0.15">
      <c r="K957" s="11"/>
    </row>
    <row r="958" spans="11:11" ht="13" x14ac:dyDescent="0.15">
      <c r="K958" s="11"/>
    </row>
    <row r="959" spans="11:11" ht="13" x14ac:dyDescent="0.15">
      <c r="K959" s="11"/>
    </row>
    <row r="960" spans="11:11" ht="13" x14ac:dyDescent="0.15">
      <c r="K960" s="11"/>
    </row>
    <row r="961" spans="11:11" ht="13" x14ac:dyDescent="0.15">
      <c r="K961" s="11"/>
    </row>
    <row r="962" spans="11:11" ht="13" x14ac:dyDescent="0.15">
      <c r="K962" s="11"/>
    </row>
    <row r="963" spans="11:11" ht="13" x14ac:dyDescent="0.15">
      <c r="K963" s="11"/>
    </row>
    <row r="964" spans="11:11" ht="13" x14ac:dyDescent="0.15">
      <c r="K964" s="11"/>
    </row>
    <row r="965" spans="11:11" ht="13" x14ac:dyDescent="0.15">
      <c r="K965" s="11"/>
    </row>
    <row r="966" spans="11:11" ht="13" x14ac:dyDescent="0.15">
      <c r="K966" s="11"/>
    </row>
    <row r="967" spans="11:11" ht="13" x14ac:dyDescent="0.15">
      <c r="K967" s="11"/>
    </row>
    <row r="968" spans="11:11" ht="13" x14ac:dyDescent="0.15">
      <c r="K968" s="11"/>
    </row>
    <row r="969" spans="11:11" ht="13" x14ac:dyDescent="0.15">
      <c r="K969" s="11"/>
    </row>
    <row r="970" spans="11:11" ht="13" x14ac:dyDescent="0.15">
      <c r="K970" s="11"/>
    </row>
    <row r="971" spans="11:11" ht="13" x14ac:dyDescent="0.15">
      <c r="K971" s="11"/>
    </row>
    <row r="972" spans="11:11" ht="13" x14ac:dyDescent="0.15">
      <c r="K972" s="11"/>
    </row>
    <row r="973" spans="11:11" ht="13" x14ac:dyDescent="0.15">
      <c r="K973" s="11"/>
    </row>
    <row r="974" spans="11:11" ht="13" x14ac:dyDescent="0.15">
      <c r="K974" s="11"/>
    </row>
    <row r="975" spans="11:11" ht="13" x14ac:dyDescent="0.15">
      <c r="K975" s="11"/>
    </row>
    <row r="976" spans="11:11" ht="13" x14ac:dyDescent="0.15">
      <c r="K976" s="11"/>
    </row>
    <row r="977" spans="11:11" ht="13" x14ac:dyDescent="0.15">
      <c r="K977" s="11"/>
    </row>
    <row r="978" spans="11:11" ht="13" x14ac:dyDescent="0.15">
      <c r="K978" s="11"/>
    </row>
    <row r="979" spans="11:11" ht="13" x14ac:dyDescent="0.15">
      <c r="K979" s="11"/>
    </row>
    <row r="980" spans="11:11" ht="13" x14ac:dyDescent="0.15">
      <c r="K980" s="11"/>
    </row>
    <row r="981" spans="11:11" ht="13" x14ac:dyDescent="0.15">
      <c r="K981" s="11"/>
    </row>
    <row r="982" spans="11:11" ht="13" x14ac:dyDescent="0.15">
      <c r="K982" s="11"/>
    </row>
    <row r="983" spans="11:11" ht="13" x14ac:dyDescent="0.15">
      <c r="K983" s="11"/>
    </row>
    <row r="984" spans="11:11" ht="13" x14ac:dyDescent="0.15">
      <c r="K984" s="11"/>
    </row>
    <row r="985" spans="11:11" ht="13" x14ac:dyDescent="0.15">
      <c r="K985" s="11"/>
    </row>
    <row r="986" spans="11:11" ht="13" x14ac:dyDescent="0.15">
      <c r="K986" s="11"/>
    </row>
    <row r="987" spans="11:11" ht="13" x14ac:dyDescent="0.15">
      <c r="K987" s="11"/>
    </row>
    <row r="988" spans="11:11" ht="13" x14ac:dyDescent="0.15">
      <c r="K988" s="11"/>
    </row>
    <row r="989" spans="11:11" ht="13" x14ac:dyDescent="0.15">
      <c r="K989" s="11"/>
    </row>
    <row r="990" spans="11:11" ht="13" x14ac:dyDescent="0.15">
      <c r="K990" s="11"/>
    </row>
    <row r="991" spans="11:11" ht="13" x14ac:dyDescent="0.15">
      <c r="K991" s="11"/>
    </row>
    <row r="992" spans="11:11" ht="13" x14ac:dyDescent="0.15">
      <c r="K992" s="11"/>
    </row>
    <row r="993" spans="11:11" ht="13" x14ac:dyDescent="0.15">
      <c r="K993" s="11"/>
    </row>
    <row r="994" spans="11:11" ht="13" x14ac:dyDescent="0.15">
      <c r="K994" s="11"/>
    </row>
    <row r="995" spans="11:11" ht="13" x14ac:dyDescent="0.15">
      <c r="K995" s="11"/>
    </row>
    <row r="996" spans="11:11" ht="13" x14ac:dyDescent="0.15">
      <c r="K996" s="11"/>
    </row>
    <row r="997" spans="11:11" ht="13" x14ac:dyDescent="0.15">
      <c r="K997" s="11"/>
    </row>
    <row r="998" spans="11:11" ht="13" x14ac:dyDescent="0.15">
      <c r="K998" s="11"/>
    </row>
    <row r="999" spans="11:11" ht="13" x14ac:dyDescent="0.15">
      <c r="K999" s="11"/>
    </row>
    <row r="1000" spans="11:11" ht="13" x14ac:dyDescent="0.15">
      <c r="K1000" s="1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C1001"/>
  <sheetViews>
    <sheetView workbookViewId="0">
      <selection activeCell="A11" sqref="A11"/>
    </sheetView>
  </sheetViews>
  <sheetFormatPr baseColWidth="10" defaultColWidth="12.6640625" defaultRowHeight="15.75" customHeight="1" x14ac:dyDescent="0.15"/>
  <sheetData>
    <row r="1" spans="1:3" ht="15.75" customHeight="1" x14ac:dyDescent="0.15">
      <c r="A1" s="1" t="s">
        <v>96</v>
      </c>
      <c r="B1" s="1" t="s">
        <v>27</v>
      </c>
    </row>
    <row r="2" spans="1:3" ht="15.75" customHeight="1" x14ac:dyDescent="0.15">
      <c r="A2" s="12">
        <v>46274</v>
      </c>
      <c r="B2" s="6">
        <v>1</v>
      </c>
      <c r="C2" s="12"/>
    </row>
    <row r="3" spans="1:3" ht="15.75" customHeight="1" x14ac:dyDescent="0.15">
      <c r="A3" s="12">
        <f t="shared" ref="A3:A115" si="0">A2+1</f>
        <v>46275</v>
      </c>
      <c r="B3" s="6">
        <v>1</v>
      </c>
      <c r="C3" s="12"/>
    </row>
    <row r="4" spans="1:3" ht="15.75" customHeight="1" x14ac:dyDescent="0.15">
      <c r="A4" s="12">
        <f t="shared" si="0"/>
        <v>46276</v>
      </c>
      <c r="B4" s="6">
        <v>1</v>
      </c>
      <c r="C4" s="12"/>
    </row>
    <row r="5" spans="1:3" ht="15.75" customHeight="1" x14ac:dyDescent="0.15">
      <c r="A5" s="12">
        <f t="shared" si="0"/>
        <v>46277</v>
      </c>
      <c r="B5" s="6">
        <v>1</v>
      </c>
      <c r="C5" s="12"/>
    </row>
    <row r="6" spans="1:3" ht="15.75" customHeight="1" x14ac:dyDescent="0.15">
      <c r="A6" s="12">
        <f t="shared" si="0"/>
        <v>46278</v>
      </c>
      <c r="B6" s="6">
        <v>1</v>
      </c>
      <c r="C6" s="12"/>
    </row>
    <row r="7" spans="1:3" ht="15.75" customHeight="1" x14ac:dyDescent="0.15">
      <c r="A7" s="12">
        <f t="shared" si="0"/>
        <v>46279</v>
      </c>
      <c r="B7" s="6">
        <v>1</v>
      </c>
      <c r="C7" s="12"/>
    </row>
    <row r="8" spans="1:3" ht="15.75" customHeight="1" x14ac:dyDescent="0.15">
      <c r="A8" s="12">
        <f t="shared" si="0"/>
        <v>46280</v>
      </c>
      <c r="B8" s="6">
        <v>1</v>
      </c>
      <c r="C8" s="12"/>
    </row>
    <row r="9" spans="1:3" ht="15.75" customHeight="1" x14ac:dyDescent="0.15">
      <c r="A9" s="12">
        <f t="shared" si="0"/>
        <v>46281</v>
      </c>
      <c r="B9" s="6">
        <f t="shared" ref="B9:B127" si="1">B2+1</f>
        <v>2</v>
      </c>
      <c r="C9" s="12"/>
    </row>
    <row r="10" spans="1:3" ht="15.75" customHeight="1" x14ac:dyDescent="0.15">
      <c r="A10" s="12">
        <f t="shared" si="0"/>
        <v>46282</v>
      </c>
      <c r="B10" s="6">
        <f t="shared" si="1"/>
        <v>2</v>
      </c>
      <c r="C10" s="12"/>
    </row>
    <row r="11" spans="1:3" ht="15.75" customHeight="1" x14ac:dyDescent="0.15">
      <c r="A11" s="12">
        <f t="shared" si="0"/>
        <v>46283</v>
      </c>
      <c r="B11" s="6">
        <f t="shared" si="1"/>
        <v>2</v>
      </c>
      <c r="C11" s="12"/>
    </row>
    <row r="12" spans="1:3" ht="15.75" customHeight="1" x14ac:dyDescent="0.15">
      <c r="A12" s="12">
        <f t="shared" si="0"/>
        <v>46284</v>
      </c>
      <c r="B12" s="6">
        <f t="shared" si="1"/>
        <v>2</v>
      </c>
      <c r="C12" s="12"/>
    </row>
    <row r="13" spans="1:3" ht="15.75" customHeight="1" x14ac:dyDescent="0.15">
      <c r="A13" s="12">
        <f t="shared" si="0"/>
        <v>46285</v>
      </c>
      <c r="B13" s="6">
        <f t="shared" si="1"/>
        <v>2</v>
      </c>
      <c r="C13" s="12"/>
    </row>
    <row r="14" spans="1:3" ht="15.75" customHeight="1" x14ac:dyDescent="0.15">
      <c r="A14" s="12">
        <f t="shared" si="0"/>
        <v>46286</v>
      </c>
      <c r="B14" s="6">
        <f t="shared" si="1"/>
        <v>2</v>
      </c>
      <c r="C14" s="12"/>
    </row>
    <row r="15" spans="1:3" ht="15.75" customHeight="1" x14ac:dyDescent="0.15">
      <c r="A15" s="12">
        <f t="shared" si="0"/>
        <v>46287</v>
      </c>
      <c r="B15" s="6">
        <f t="shared" si="1"/>
        <v>2</v>
      </c>
      <c r="C15" s="12"/>
    </row>
    <row r="16" spans="1:3" ht="15.75" customHeight="1" x14ac:dyDescent="0.15">
      <c r="A16" s="12">
        <f t="shared" si="0"/>
        <v>46288</v>
      </c>
      <c r="B16" s="6">
        <f t="shared" si="1"/>
        <v>3</v>
      </c>
      <c r="C16" s="12"/>
    </row>
    <row r="17" spans="1:3" ht="15.75" customHeight="1" x14ac:dyDescent="0.15">
      <c r="A17" s="12">
        <f t="shared" si="0"/>
        <v>46289</v>
      </c>
      <c r="B17" s="6">
        <f t="shared" si="1"/>
        <v>3</v>
      </c>
      <c r="C17" s="12"/>
    </row>
    <row r="18" spans="1:3" ht="15.75" customHeight="1" x14ac:dyDescent="0.15">
      <c r="A18" s="12">
        <f t="shared" si="0"/>
        <v>46290</v>
      </c>
      <c r="B18" s="6">
        <f t="shared" si="1"/>
        <v>3</v>
      </c>
      <c r="C18" s="12"/>
    </row>
    <row r="19" spans="1:3" ht="15.75" customHeight="1" x14ac:dyDescent="0.15">
      <c r="A19" s="12">
        <f t="shared" si="0"/>
        <v>46291</v>
      </c>
      <c r="B19" s="6">
        <f t="shared" si="1"/>
        <v>3</v>
      </c>
      <c r="C19" s="12"/>
    </row>
    <row r="20" spans="1:3" ht="15.75" customHeight="1" x14ac:dyDescent="0.15">
      <c r="A20" s="12">
        <f t="shared" si="0"/>
        <v>46292</v>
      </c>
      <c r="B20" s="6">
        <f t="shared" si="1"/>
        <v>3</v>
      </c>
    </row>
    <row r="21" spans="1:3" ht="15.75" customHeight="1" x14ac:dyDescent="0.15">
      <c r="A21" s="12">
        <f t="shared" si="0"/>
        <v>46293</v>
      </c>
      <c r="B21" s="6">
        <f t="shared" si="1"/>
        <v>3</v>
      </c>
    </row>
    <row r="22" spans="1:3" ht="15.75" customHeight="1" x14ac:dyDescent="0.15">
      <c r="A22" s="12">
        <f t="shared" si="0"/>
        <v>46294</v>
      </c>
      <c r="B22" s="6">
        <f t="shared" si="1"/>
        <v>3</v>
      </c>
    </row>
    <row r="23" spans="1:3" ht="15.75" customHeight="1" x14ac:dyDescent="0.15">
      <c r="A23" s="12">
        <f t="shared" si="0"/>
        <v>46295</v>
      </c>
      <c r="B23" s="6">
        <f t="shared" si="1"/>
        <v>4</v>
      </c>
    </row>
    <row r="24" spans="1:3" ht="15.75" customHeight="1" x14ac:dyDescent="0.15">
      <c r="A24" s="12">
        <f t="shared" si="0"/>
        <v>46296</v>
      </c>
      <c r="B24" s="6">
        <f t="shared" si="1"/>
        <v>4</v>
      </c>
    </row>
    <row r="25" spans="1:3" ht="15.75" customHeight="1" x14ac:dyDescent="0.15">
      <c r="A25" s="12">
        <f t="shared" si="0"/>
        <v>46297</v>
      </c>
      <c r="B25" s="6">
        <f t="shared" si="1"/>
        <v>4</v>
      </c>
    </row>
    <row r="26" spans="1:3" ht="15.75" customHeight="1" x14ac:dyDescent="0.15">
      <c r="A26" s="12">
        <f t="shared" si="0"/>
        <v>46298</v>
      </c>
      <c r="B26" s="6">
        <f t="shared" si="1"/>
        <v>4</v>
      </c>
    </row>
    <row r="27" spans="1:3" ht="15.75" customHeight="1" x14ac:dyDescent="0.15">
      <c r="A27" s="12">
        <f t="shared" si="0"/>
        <v>46299</v>
      </c>
      <c r="B27" s="6">
        <f t="shared" si="1"/>
        <v>4</v>
      </c>
    </row>
    <row r="28" spans="1:3" ht="15.75" customHeight="1" x14ac:dyDescent="0.15">
      <c r="A28" s="12">
        <f t="shared" si="0"/>
        <v>46300</v>
      </c>
      <c r="B28" s="6">
        <f t="shared" si="1"/>
        <v>4</v>
      </c>
    </row>
    <row r="29" spans="1:3" ht="15.75" customHeight="1" x14ac:dyDescent="0.15">
      <c r="A29" s="12">
        <f t="shared" si="0"/>
        <v>46301</v>
      </c>
      <c r="B29" s="6">
        <f t="shared" si="1"/>
        <v>4</v>
      </c>
    </row>
    <row r="30" spans="1:3" ht="15.75" customHeight="1" x14ac:dyDescent="0.15">
      <c r="A30" s="12">
        <f t="shared" si="0"/>
        <v>46302</v>
      </c>
      <c r="B30" s="6">
        <f t="shared" si="1"/>
        <v>5</v>
      </c>
    </row>
    <row r="31" spans="1:3" ht="15.75" customHeight="1" x14ac:dyDescent="0.15">
      <c r="A31" s="12">
        <f t="shared" si="0"/>
        <v>46303</v>
      </c>
      <c r="B31" s="6">
        <f t="shared" si="1"/>
        <v>5</v>
      </c>
    </row>
    <row r="32" spans="1:3" ht="15.75" customHeight="1" x14ac:dyDescent="0.15">
      <c r="A32" s="12">
        <f t="shared" si="0"/>
        <v>46304</v>
      </c>
      <c r="B32" s="6">
        <f t="shared" si="1"/>
        <v>5</v>
      </c>
    </row>
    <row r="33" spans="1:2" ht="15.75" customHeight="1" x14ac:dyDescent="0.15">
      <c r="A33" s="12">
        <f t="shared" si="0"/>
        <v>46305</v>
      </c>
      <c r="B33" s="6">
        <f t="shared" si="1"/>
        <v>5</v>
      </c>
    </row>
    <row r="34" spans="1:2" ht="15.75" customHeight="1" x14ac:dyDescent="0.15">
      <c r="A34" s="12">
        <f t="shared" si="0"/>
        <v>46306</v>
      </c>
      <c r="B34" s="6">
        <f t="shared" si="1"/>
        <v>5</v>
      </c>
    </row>
    <row r="35" spans="1:2" ht="15.75" customHeight="1" x14ac:dyDescent="0.15">
      <c r="A35" s="12">
        <f t="shared" si="0"/>
        <v>46307</v>
      </c>
      <c r="B35" s="6">
        <f t="shared" si="1"/>
        <v>5</v>
      </c>
    </row>
    <row r="36" spans="1:2" ht="15.75" customHeight="1" x14ac:dyDescent="0.15">
      <c r="A36" s="12">
        <f t="shared" si="0"/>
        <v>46308</v>
      </c>
      <c r="B36" s="6">
        <f t="shared" si="1"/>
        <v>5</v>
      </c>
    </row>
    <row r="37" spans="1:2" ht="15.75" customHeight="1" x14ac:dyDescent="0.15">
      <c r="A37" s="12">
        <f t="shared" si="0"/>
        <v>46309</v>
      </c>
      <c r="B37" s="6">
        <f t="shared" si="1"/>
        <v>6</v>
      </c>
    </row>
    <row r="38" spans="1:2" ht="15.75" customHeight="1" x14ac:dyDescent="0.15">
      <c r="A38" s="12">
        <f t="shared" si="0"/>
        <v>46310</v>
      </c>
      <c r="B38" s="6">
        <f t="shared" si="1"/>
        <v>6</v>
      </c>
    </row>
    <row r="39" spans="1:2" ht="15.75" customHeight="1" x14ac:dyDescent="0.15">
      <c r="A39" s="12">
        <f t="shared" si="0"/>
        <v>46311</v>
      </c>
      <c r="B39" s="6">
        <f t="shared" si="1"/>
        <v>6</v>
      </c>
    </row>
    <row r="40" spans="1:2" ht="15.75" customHeight="1" x14ac:dyDescent="0.15">
      <c r="A40" s="12">
        <f t="shared" si="0"/>
        <v>46312</v>
      </c>
      <c r="B40" s="6">
        <f t="shared" si="1"/>
        <v>6</v>
      </c>
    </row>
    <row r="41" spans="1:2" ht="15.75" customHeight="1" x14ac:dyDescent="0.15">
      <c r="A41" s="12">
        <f t="shared" si="0"/>
        <v>46313</v>
      </c>
      <c r="B41" s="6">
        <f t="shared" si="1"/>
        <v>6</v>
      </c>
    </row>
    <row r="42" spans="1:2" ht="15.75" customHeight="1" x14ac:dyDescent="0.15">
      <c r="A42" s="12">
        <f t="shared" si="0"/>
        <v>46314</v>
      </c>
      <c r="B42" s="6">
        <f t="shared" si="1"/>
        <v>6</v>
      </c>
    </row>
    <row r="43" spans="1:2" ht="15.75" customHeight="1" x14ac:dyDescent="0.15">
      <c r="A43" s="12">
        <f t="shared" si="0"/>
        <v>46315</v>
      </c>
      <c r="B43" s="6">
        <f t="shared" si="1"/>
        <v>6</v>
      </c>
    </row>
    <row r="44" spans="1:2" ht="15.75" customHeight="1" x14ac:dyDescent="0.15">
      <c r="A44" s="12">
        <f t="shared" si="0"/>
        <v>46316</v>
      </c>
      <c r="B44" s="6">
        <f t="shared" si="1"/>
        <v>7</v>
      </c>
    </row>
    <row r="45" spans="1:2" ht="15.75" customHeight="1" x14ac:dyDescent="0.15">
      <c r="A45" s="12">
        <f t="shared" si="0"/>
        <v>46317</v>
      </c>
      <c r="B45" s="6">
        <f t="shared" si="1"/>
        <v>7</v>
      </c>
    </row>
    <row r="46" spans="1:2" ht="15.75" customHeight="1" x14ac:dyDescent="0.15">
      <c r="A46" s="12">
        <f t="shared" si="0"/>
        <v>46318</v>
      </c>
      <c r="B46" s="6">
        <f t="shared" si="1"/>
        <v>7</v>
      </c>
    </row>
    <row r="47" spans="1:2" ht="15.75" customHeight="1" x14ac:dyDescent="0.15">
      <c r="A47" s="12">
        <f t="shared" si="0"/>
        <v>46319</v>
      </c>
      <c r="B47" s="6">
        <f t="shared" si="1"/>
        <v>7</v>
      </c>
    </row>
    <row r="48" spans="1:2" ht="15.75" customHeight="1" x14ac:dyDescent="0.15">
      <c r="A48" s="12">
        <f t="shared" si="0"/>
        <v>46320</v>
      </c>
      <c r="B48" s="6">
        <f t="shared" si="1"/>
        <v>7</v>
      </c>
    </row>
    <row r="49" spans="1:2" ht="15.75" customHeight="1" x14ac:dyDescent="0.15">
      <c r="A49" s="12">
        <f t="shared" si="0"/>
        <v>46321</v>
      </c>
      <c r="B49" s="6">
        <f t="shared" si="1"/>
        <v>7</v>
      </c>
    </row>
    <row r="50" spans="1:2" ht="15.75" customHeight="1" x14ac:dyDescent="0.15">
      <c r="A50" s="12">
        <f t="shared" si="0"/>
        <v>46322</v>
      </c>
      <c r="B50" s="6">
        <f t="shared" si="1"/>
        <v>7</v>
      </c>
    </row>
    <row r="51" spans="1:2" ht="15.75" customHeight="1" x14ac:dyDescent="0.15">
      <c r="A51" s="12">
        <f t="shared" si="0"/>
        <v>46323</v>
      </c>
      <c r="B51" s="6">
        <f t="shared" si="1"/>
        <v>8</v>
      </c>
    </row>
    <row r="52" spans="1:2" ht="13" x14ac:dyDescent="0.15">
      <c r="A52" s="12">
        <f t="shared" si="0"/>
        <v>46324</v>
      </c>
      <c r="B52" s="6">
        <f t="shared" si="1"/>
        <v>8</v>
      </c>
    </row>
    <row r="53" spans="1:2" ht="13" x14ac:dyDescent="0.15">
      <c r="A53" s="12">
        <f t="shared" si="0"/>
        <v>46325</v>
      </c>
      <c r="B53" s="6">
        <f t="shared" si="1"/>
        <v>8</v>
      </c>
    </row>
    <row r="54" spans="1:2" ht="13" x14ac:dyDescent="0.15">
      <c r="A54" s="12">
        <f t="shared" si="0"/>
        <v>46326</v>
      </c>
      <c r="B54" s="6">
        <f t="shared" si="1"/>
        <v>8</v>
      </c>
    </row>
    <row r="55" spans="1:2" ht="13" x14ac:dyDescent="0.15">
      <c r="A55" s="12">
        <f t="shared" si="0"/>
        <v>46327</v>
      </c>
      <c r="B55" s="6">
        <f t="shared" si="1"/>
        <v>8</v>
      </c>
    </row>
    <row r="56" spans="1:2" ht="13" x14ac:dyDescent="0.15">
      <c r="A56" s="12">
        <f t="shared" si="0"/>
        <v>46328</v>
      </c>
      <c r="B56" s="6">
        <f t="shared" si="1"/>
        <v>8</v>
      </c>
    </row>
    <row r="57" spans="1:2" ht="13" x14ac:dyDescent="0.15">
      <c r="A57" s="12">
        <f t="shared" si="0"/>
        <v>46329</v>
      </c>
      <c r="B57" s="6">
        <f t="shared" si="1"/>
        <v>8</v>
      </c>
    </row>
    <row r="58" spans="1:2" ht="13" x14ac:dyDescent="0.15">
      <c r="A58" s="12">
        <f t="shared" si="0"/>
        <v>46330</v>
      </c>
      <c r="B58" s="6">
        <f t="shared" si="1"/>
        <v>9</v>
      </c>
    </row>
    <row r="59" spans="1:2" ht="13" x14ac:dyDescent="0.15">
      <c r="A59" s="12">
        <f t="shared" si="0"/>
        <v>46331</v>
      </c>
      <c r="B59" s="6">
        <f t="shared" si="1"/>
        <v>9</v>
      </c>
    </row>
    <row r="60" spans="1:2" ht="13" x14ac:dyDescent="0.15">
      <c r="A60" s="12">
        <f t="shared" si="0"/>
        <v>46332</v>
      </c>
      <c r="B60" s="6">
        <f t="shared" si="1"/>
        <v>9</v>
      </c>
    </row>
    <row r="61" spans="1:2" ht="13" x14ac:dyDescent="0.15">
      <c r="A61" s="12">
        <f t="shared" si="0"/>
        <v>46333</v>
      </c>
      <c r="B61" s="6">
        <f t="shared" si="1"/>
        <v>9</v>
      </c>
    </row>
    <row r="62" spans="1:2" ht="13" x14ac:dyDescent="0.15">
      <c r="A62" s="12">
        <f t="shared" si="0"/>
        <v>46334</v>
      </c>
      <c r="B62" s="6">
        <f t="shared" si="1"/>
        <v>9</v>
      </c>
    </row>
    <row r="63" spans="1:2" ht="13" x14ac:dyDescent="0.15">
      <c r="A63" s="12">
        <f t="shared" si="0"/>
        <v>46335</v>
      </c>
      <c r="B63" s="6">
        <f t="shared" si="1"/>
        <v>9</v>
      </c>
    </row>
    <row r="64" spans="1:2" ht="13" x14ac:dyDescent="0.15">
      <c r="A64" s="12">
        <f t="shared" si="0"/>
        <v>46336</v>
      </c>
      <c r="B64" s="6">
        <f t="shared" si="1"/>
        <v>9</v>
      </c>
    </row>
    <row r="65" spans="1:2" ht="13" x14ac:dyDescent="0.15">
      <c r="A65" s="12">
        <f t="shared" si="0"/>
        <v>46337</v>
      </c>
      <c r="B65" s="6">
        <f t="shared" si="1"/>
        <v>10</v>
      </c>
    </row>
    <row r="66" spans="1:2" ht="13" x14ac:dyDescent="0.15">
      <c r="A66" s="12">
        <f t="shared" si="0"/>
        <v>46338</v>
      </c>
      <c r="B66" s="6">
        <f t="shared" si="1"/>
        <v>10</v>
      </c>
    </row>
    <row r="67" spans="1:2" ht="13" x14ac:dyDescent="0.15">
      <c r="A67" s="12">
        <f t="shared" si="0"/>
        <v>46339</v>
      </c>
      <c r="B67" s="6">
        <f t="shared" si="1"/>
        <v>10</v>
      </c>
    </row>
    <row r="68" spans="1:2" ht="13" x14ac:dyDescent="0.15">
      <c r="A68" s="12">
        <f t="shared" si="0"/>
        <v>46340</v>
      </c>
      <c r="B68" s="6">
        <f t="shared" si="1"/>
        <v>10</v>
      </c>
    </row>
    <row r="69" spans="1:2" ht="13" x14ac:dyDescent="0.15">
      <c r="A69" s="12">
        <f t="shared" si="0"/>
        <v>46341</v>
      </c>
      <c r="B69" s="6">
        <f t="shared" si="1"/>
        <v>10</v>
      </c>
    </row>
    <row r="70" spans="1:2" ht="13" x14ac:dyDescent="0.15">
      <c r="A70" s="12">
        <f t="shared" si="0"/>
        <v>46342</v>
      </c>
      <c r="B70" s="6">
        <f t="shared" si="1"/>
        <v>10</v>
      </c>
    </row>
    <row r="71" spans="1:2" ht="13" x14ac:dyDescent="0.15">
      <c r="A71" s="12">
        <f t="shared" si="0"/>
        <v>46343</v>
      </c>
      <c r="B71" s="6">
        <f t="shared" si="1"/>
        <v>10</v>
      </c>
    </row>
    <row r="72" spans="1:2" ht="13" x14ac:dyDescent="0.15">
      <c r="A72" s="12">
        <f t="shared" si="0"/>
        <v>46344</v>
      </c>
      <c r="B72" s="6">
        <f t="shared" si="1"/>
        <v>11</v>
      </c>
    </row>
    <row r="73" spans="1:2" ht="13" x14ac:dyDescent="0.15">
      <c r="A73" s="12">
        <f t="shared" si="0"/>
        <v>46345</v>
      </c>
      <c r="B73" s="6">
        <f t="shared" si="1"/>
        <v>11</v>
      </c>
    </row>
    <row r="74" spans="1:2" ht="13" x14ac:dyDescent="0.15">
      <c r="A74" s="12">
        <f t="shared" si="0"/>
        <v>46346</v>
      </c>
      <c r="B74" s="6">
        <f t="shared" si="1"/>
        <v>11</v>
      </c>
    </row>
    <row r="75" spans="1:2" ht="13" x14ac:dyDescent="0.15">
      <c r="A75" s="12">
        <f t="shared" si="0"/>
        <v>46347</v>
      </c>
      <c r="B75" s="6">
        <f t="shared" si="1"/>
        <v>11</v>
      </c>
    </row>
    <row r="76" spans="1:2" ht="13" x14ac:dyDescent="0.15">
      <c r="A76" s="12">
        <f t="shared" si="0"/>
        <v>46348</v>
      </c>
      <c r="B76" s="6">
        <f t="shared" si="1"/>
        <v>11</v>
      </c>
    </row>
    <row r="77" spans="1:2" ht="13" x14ac:dyDescent="0.15">
      <c r="A77" s="12">
        <f t="shared" si="0"/>
        <v>46349</v>
      </c>
      <c r="B77" s="6">
        <f t="shared" si="1"/>
        <v>11</v>
      </c>
    </row>
    <row r="78" spans="1:2" ht="13" x14ac:dyDescent="0.15">
      <c r="A78" s="12">
        <f t="shared" si="0"/>
        <v>46350</v>
      </c>
      <c r="B78" s="6">
        <f t="shared" si="1"/>
        <v>11</v>
      </c>
    </row>
    <row r="79" spans="1:2" ht="13" x14ac:dyDescent="0.15">
      <c r="A79" s="12">
        <f t="shared" si="0"/>
        <v>46351</v>
      </c>
      <c r="B79" s="6">
        <f t="shared" si="1"/>
        <v>12</v>
      </c>
    </row>
    <row r="80" spans="1:2" ht="13" x14ac:dyDescent="0.15">
      <c r="A80" s="12">
        <f t="shared" si="0"/>
        <v>46352</v>
      </c>
      <c r="B80" s="6">
        <f t="shared" si="1"/>
        <v>12</v>
      </c>
    </row>
    <row r="81" spans="1:2" ht="13" x14ac:dyDescent="0.15">
      <c r="A81" s="12">
        <f t="shared" si="0"/>
        <v>46353</v>
      </c>
      <c r="B81" s="6">
        <f t="shared" si="1"/>
        <v>12</v>
      </c>
    </row>
    <row r="82" spans="1:2" ht="13" x14ac:dyDescent="0.15">
      <c r="A82" s="12">
        <f t="shared" si="0"/>
        <v>46354</v>
      </c>
      <c r="B82" s="6">
        <f t="shared" si="1"/>
        <v>12</v>
      </c>
    </row>
    <row r="83" spans="1:2" ht="13" x14ac:dyDescent="0.15">
      <c r="A83" s="12">
        <f t="shared" si="0"/>
        <v>46355</v>
      </c>
      <c r="B83" s="6">
        <f t="shared" si="1"/>
        <v>12</v>
      </c>
    </row>
    <row r="84" spans="1:2" ht="13" x14ac:dyDescent="0.15">
      <c r="A84" s="12">
        <f t="shared" si="0"/>
        <v>46356</v>
      </c>
      <c r="B84" s="6">
        <f t="shared" si="1"/>
        <v>12</v>
      </c>
    </row>
    <row r="85" spans="1:2" ht="13" x14ac:dyDescent="0.15">
      <c r="A85" s="12">
        <f t="shared" si="0"/>
        <v>46357</v>
      </c>
      <c r="B85" s="6">
        <f t="shared" si="1"/>
        <v>12</v>
      </c>
    </row>
    <row r="86" spans="1:2" ht="13" x14ac:dyDescent="0.15">
      <c r="A86" s="12">
        <f t="shared" si="0"/>
        <v>46358</v>
      </c>
      <c r="B86" s="6">
        <f t="shared" si="1"/>
        <v>13</v>
      </c>
    </row>
    <row r="87" spans="1:2" ht="13" x14ac:dyDescent="0.15">
      <c r="A87" s="12">
        <f t="shared" si="0"/>
        <v>46359</v>
      </c>
      <c r="B87" s="6">
        <f t="shared" si="1"/>
        <v>13</v>
      </c>
    </row>
    <row r="88" spans="1:2" ht="13" x14ac:dyDescent="0.15">
      <c r="A88" s="12">
        <f t="shared" si="0"/>
        <v>46360</v>
      </c>
      <c r="B88" s="6">
        <f t="shared" si="1"/>
        <v>13</v>
      </c>
    </row>
    <row r="89" spans="1:2" ht="13" x14ac:dyDescent="0.15">
      <c r="A89" s="12">
        <f t="shared" si="0"/>
        <v>46361</v>
      </c>
      <c r="B89" s="6">
        <f t="shared" si="1"/>
        <v>13</v>
      </c>
    </row>
    <row r="90" spans="1:2" ht="13" x14ac:dyDescent="0.15">
      <c r="A90" s="12">
        <f t="shared" si="0"/>
        <v>46362</v>
      </c>
      <c r="B90" s="6">
        <f t="shared" si="1"/>
        <v>13</v>
      </c>
    </row>
    <row r="91" spans="1:2" ht="13" x14ac:dyDescent="0.15">
      <c r="A91" s="12">
        <f t="shared" si="0"/>
        <v>46363</v>
      </c>
      <c r="B91" s="6">
        <f t="shared" si="1"/>
        <v>13</v>
      </c>
    </row>
    <row r="92" spans="1:2" ht="13" x14ac:dyDescent="0.15">
      <c r="A92" s="12">
        <f t="shared" si="0"/>
        <v>46364</v>
      </c>
      <c r="B92" s="6">
        <f t="shared" si="1"/>
        <v>13</v>
      </c>
    </row>
    <row r="93" spans="1:2" ht="13" x14ac:dyDescent="0.15">
      <c r="A93" s="12">
        <f t="shared" si="0"/>
        <v>46365</v>
      </c>
      <c r="B93" s="6">
        <f t="shared" si="1"/>
        <v>14</v>
      </c>
    </row>
    <row r="94" spans="1:2" ht="13" x14ac:dyDescent="0.15">
      <c r="A94" s="12">
        <f t="shared" si="0"/>
        <v>46366</v>
      </c>
      <c r="B94" s="6">
        <f t="shared" si="1"/>
        <v>14</v>
      </c>
    </row>
    <row r="95" spans="1:2" ht="13" x14ac:dyDescent="0.15">
      <c r="A95" s="12">
        <f t="shared" si="0"/>
        <v>46367</v>
      </c>
      <c r="B95" s="6">
        <f t="shared" si="1"/>
        <v>14</v>
      </c>
    </row>
    <row r="96" spans="1:2" ht="13" x14ac:dyDescent="0.15">
      <c r="A96" s="12">
        <f t="shared" si="0"/>
        <v>46368</v>
      </c>
      <c r="B96" s="6">
        <f t="shared" si="1"/>
        <v>14</v>
      </c>
    </row>
    <row r="97" spans="1:2" ht="13" x14ac:dyDescent="0.15">
      <c r="A97" s="12">
        <f t="shared" si="0"/>
        <v>46369</v>
      </c>
      <c r="B97" s="6">
        <f t="shared" si="1"/>
        <v>14</v>
      </c>
    </row>
    <row r="98" spans="1:2" ht="13" x14ac:dyDescent="0.15">
      <c r="A98" s="12">
        <f t="shared" si="0"/>
        <v>46370</v>
      </c>
      <c r="B98" s="6">
        <f t="shared" si="1"/>
        <v>14</v>
      </c>
    </row>
    <row r="99" spans="1:2" ht="13" x14ac:dyDescent="0.15">
      <c r="A99" s="12">
        <f t="shared" si="0"/>
        <v>46371</v>
      </c>
      <c r="B99" s="6">
        <f t="shared" si="1"/>
        <v>14</v>
      </c>
    </row>
    <row r="100" spans="1:2" ht="13" x14ac:dyDescent="0.15">
      <c r="A100" s="12">
        <f t="shared" si="0"/>
        <v>46372</v>
      </c>
      <c r="B100" s="6">
        <f t="shared" si="1"/>
        <v>15</v>
      </c>
    </row>
    <row r="101" spans="1:2" ht="13" x14ac:dyDescent="0.15">
      <c r="A101" s="12">
        <f t="shared" si="0"/>
        <v>46373</v>
      </c>
      <c r="B101" s="6">
        <f t="shared" si="1"/>
        <v>15</v>
      </c>
    </row>
    <row r="102" spans="1:2" ht="13" x14ac:dyDescent="0.15">
      <c r="A102" s="12">
        <f t="shared" si="0"/>
        <v>46374</v>
      </c>
      <c r="B102" s="6">
        <f t="shared" si="1"/>
        <v>15</v>
      </c>
    </row>
    <row r="103" spans="1:2" ht="13" x14ac:dyDescent="0.15">
      <c r="A103" s="12">
        <f t="shared" si="0"/>
        <v>46375</v>
      </c>
      <c r="B103" s="6">
        <f t="shared" si="1"/>
        <v>15</v>
      </c>
    </row>
    <row r="104" spans="1:2" ht="13" x14ac:dyDescent="0.15">
      <c r="A104" s="12">
        <f t="shared" si="0"/>
        <v>46376</v>
      </c>
      <c r="B104" s="6">
        <f t="shared" si="1"/>
        <v>15</v>
      </c>
    </row>
    <row r="105" spans="1:2" ht="13" x14ac:dyDescent="0.15">
      <c r="A105" s="12">
        <f t="shared" si="0"/>
        <v>46377</v>
      </c>
      <c r="B105" s="6">
        <f t="shared" si="1"/>
        <v>15</v>
      </c>
    </row>
    <row r="106" spans="1:2" ht="13" x14ac:dyDescent="0.15">
      <c r="A106" s="12">
        <f t="shared" si="0"/>
        <v>46378</v>
      </c>
      <c r="B106" s="6">
        <f t="shared" si="1"/>
        <v>15</v>
      </c>
    </row>
    <row r="107" spans="1:2" ht="13" x14ac:dyDescent="0.15">
      <c r="A107" s="12">
        <f t="shared" si="0"/>
        <v>46379</v>
      </c>
      <c r="B107" s="6">
        <f t="shared" si="1"/>
        <v>16</v>
      </c>
    </row>
    <row r="108" spans="1:2" ht="13" x14ac:dyDescent="0.15">
      <c r="A108" s="12">
        <f t="shared" si="0"/>
        <v>46380</v>
      </c>
      <c r="B108" s="6">
        <f t="shared" si="1"/>
        <v>16</v>
      </c>
    </row>
    <row r="109" spans="1:2" ht="13" x14ac:dyDescent="0.15">
      <c r="A109" s="12">
        <f t="shared" si="0"/>
        <v>46381</v>
      </c>
      <c r="B109" s="6">
        <f t="shared" si="1"/>
        <v>16</v>
      </c>
    </row>
    <row r="110" spans="1:2" ht="13" x14ac:dyDescent="0.15">
      <c r="A110" s="12">
        <f t="shared" si="0"/>
        <v>46382</v>
      </c>
      <c r="B110" s="6">
        <f t="shared" si="1"/>
        <v>16</v>
      </c>
    </row>
    <row r="111" spans="1:2" ht="13" x14ac:dyDescent="0.15">
      <c r="A111" s="12">
        <f t="shared" si="0"/>
        <v>46383</v>
      </c>
      <c r="B111" s="6">
        <f t="shared" si="1"/>
        <v>16</v>
      </c>
    </row>
    <row r="112" spans="1:2" ht="13" x14ac:dyDescent="0.15">
      <c r="A112" s="12">
        <f t="shared" si="0"/>
        <v>46384</v>
      </c>
      <c r="B112" s="6">
        <f t="shared" si="1"/>
        <v>16</v>
      </c>
    </row>
    <row r="113" spans="1:2" ht="13" x14ac:dyDescent="0.15">
      <c r="A113" s="12">
        <f t="shared" si="0"/>
        <v>46385</v>
      </c>
      <c r="B113" s="6">
        <f t="shared" si="1"/>
        <v>16</v>
      </c>
    </row>
    <row r="114" spans="1:2" ht="13" x14ac:dyDescent="0.15">
      <c r="A114" s="12">
        <f t="shared" si="0"/>
        <v>46386</v>
      </c>
      <c r="B114" s="6">
        <f t="shared" si="1"/>
        <v>17</v>
      </c>
    </row>
    <row r="115" spans="1:2" ht="13" x14ac:dyDescent="0.15">
      <c r="A115" s="12">
        <f t="shared" si="0"/>
        <v>46387</v>
      </c>
      <c r="B115" s="6">
        <f t="shared" si="1"/>
        <v>17</v>
      </c>
    </row>
    <row r="116" spans="1:2" ht="13" x14ac:dyDescent="0.15">
      <c r="A116" s="12">
        <v>46023</v>
      </c>
      <c r="B116" s="6">
        <f t="shared" si="1"/>
        <v>17</v>
      </c>
    </row>
    <row r="117" spans="1:2" ht="13" x14ac:dyDescent="0.15">
      <c r="A117" s="12">
        <f t="shared" ref="A117:A127" si="2">A116+1</f>
        <v>46024</v>
      </c>
      <c r="B117" s="6">
        <f t="shared" si="1"/>
        <v>17</v>
      </c>
    </row>
    <row r="118" spans="1:2" ht="13" x14ac:dyDescent="0.15">
      <c r="A118" s="12">
        <f t="shared" si="2"/>
        <v>46025</v>
      </c>
      <c r="B118" s="6">
        <f t="shared" si="1"/>
        <v>17</v>
      </c>
    </row>
    <row r="119" spans="1:2" ht="13" x14ac:dyDescent="0.15">
      <c r="A119" s="12">
        <f t="shared" si="2"/>
        <v>46026</v>
      </c>
      <c r="B119" s="6">
        <f t="shared" si="1"/>
        <v>17</v>
      </c>
    </row>
    <row r="120" spans="1:2" ht="13" x14ac:dyDescent="0.15">
      <c r="A120" s="12">
        <f t="shared" si="2"/>
        <v>46027</v>
      </c>
      <c r="B120" s="6">
        <f t="shared" si="1"/>
        <v>17</v>
      </c>
    </row>
    <row r="121" spans="1:2" ht="13" x14ac:dyDescent="0.15">
      <c r="A121" s="12">
        <f t="shared" si="2"/>
        <v>46028</v>
      </c>
      <c r="B121" s="6">
        <f t="shared" si="1"/>
        <v>18</v>
      </c>
    </row>
    <row r="122" spans="1:2" ht="13" x14ac:dyDescent="0.15">
      <c r="A122" s="12">
        <f t="shared" si="2"/>
        <v>46029</v>
      </c>
      <c r="B122" s="6">
        <f t="shared" si="1"/>
        <v>18</v>
      </c>
    </row>
    <row r="123" spans="1:2" ht="13" x14ac:dyDescent="0.15">
      <c r="A123" s="12">
        <f t="shared" si="2"/>
        <v>46030</v>
      </c>
      <c r="B123" s="6">
        <f t="shared" si="1"/>
        <v>18</v>
      </c>
    </row>
    <row r="124" spans="1:2" ht="13" x14ac:dyDescent="0.15">
      <c r="A124" s="12">
        <f t="shared" si="2"/>
        <v>46031</v>
      </c>
      <c r="B124" s="6">
        <f t="shared" si="1"/>
        <v>18</v>
      </c>
    </row>
    <row r="125" spans="1:2" ht="13" x14ac:dyDescent="0.15">
      <c r="A125" s="12">
        <f t="shared" si="2"/>
        <v>46032</v>
      </c>
      <c r="B125" s="6">
        <f t="shared" si="1"/>
        <v>18</v>
      </c>
    </row>
    <row r="126" spans="1:2" ht="13" x14ac:dyDescent="0.15">
      <c r="A126" s="12">
        <f t="shared" si="2"/>
        <v>46033</v>
      </c>
      <c r="B126" s="6">
        <f t="shared" si="1"/>
        <v>18</v>
      </c>
    </row>
    <row r="127" spans="1:2" ht="13" x14ac:dyDescent="0.15">
      <c r="A127" s="12">
        <f t="shared" si="2"/>
        <v>46034</v>
      </c>
      <c r="B127" s="6">
        <f t="shared" si="1"/>
        <v>18</v>
      </c>
    </row>
    <row r="128" spans="1:2" ht="13" x14ac:dyDescent="0.15">
      <c r="B128" s="6"/>
    </row>
    <row r="129" spans="2:2" ht="13" x14ac:dyDescent="0.15">
      <c r="B129" s="6"/>
    </row>
    <row r="130" spans="2:2" ht="13" x14ac:dyDescent="0.15">
      <c r="B130" s="6"/>
    </row>
    <row r="131" spans="2:2" ht="13" x14ac:dyDescent="0.15">
      <c r="B131" s="6"/>
    </row>
    <row r="132" spans="2:2" ht="13" x14ac:dyDescent="0.15">
      <c r="B132" s="6"/>
    </row>
    <row r="133" spans="2:2" ht="13" x14ac:dyDescent="0.15">
      <c r="B133" s="6"/>
    </row>
    <row r="134" spans="2:2" ht="13" x14ac:dyDescent="0.15">
      <c r="B134" s="6"/>
    </row>
    <row r="135" spans="2:2" ht="13" x14ac:dyDescent="0.15">
      <c r="B135" s="6"/>
    </row>
    <row r="136" spans="2:2" ht="13" x14ac:dyDescent="0.15">
      <c r="B136" s="6"/>
    </row>
    <row r="137" spans="2:2" ht="13" x14ac:dyDescent="0.15">
      <c r="B137" s="6"/>
    </row>
    <row r="138" spans="2:2" ht="13" x14ac:dyDescent="0.15">
      <c r="B138" s="6"/>
    </row>
    <row r="139" spans="2:2" ht="13" x14ac:dyDescent="0.15">
      <c r="B139" s="6"/>
    </row>
    <row r="140" spans="2:2" ht="13" x14ac:dyDescent="0.15">
      <c r="B140" s="6"/>
    </row>
    <row r="141" spans="2:2" ht="13" x14ac:dyDescent="0.15">
      <c r="B141" s="6"/>
    </row>
    <row r="142" spans="2:2" ht="13" x14ac:dyDescent="0.15">
      <c r="B142" s="6"/>
    </row>
    <row r="143" spans="2:2" ht="13" x14ac:dyDescent="0.15">
      <c r="B143" s="6"/>
    </row>
    <row r="144" spans="2:2" ht="13" x14ac:dyDescent="0.15">
      <c r="B144" s="6"/>
    </row>
    <row r="145" spans="2:2" ht="13" x14ac:dyDescent="0.15">
      <c r="B145" s="6"/>
    </row>
    <row r="146" spans="2:2" ht="13" x14ac:dyDescent="0.15">
      <c r="B146" s="6"/>
    </row>
    <row r="147" spans="2:2" ht="13" x14ac:dyDescent="0.15">
      <c r="B147" s="6"/>
    </row>
    <row r="148" spans="2:2" ht="13" x14ac:dyDescent="0.15">
      <c r="B148" s="6"/>
    </row>
    <row r="149" spans="2:2" ht="13" x14ac:dyDescent="0.15">
      <c r="B149" s="6"/>
    </row>
    <row r="150" spans="2:2" ht="13" x14ac:dyDescent="0.15">
      <c r="B150" s="6"/>
    </row>
    <row r="151" spans="2:2" ht="13" x14ac:dyDescent="0.15">
      <c r="B151" s="6"/>
    </row>
    <row r="152" spans="2:2" ht="13" x14ac:dyDescent="0.15">
      <c r="B152" s="6"/>
    </row>
    <row r="153" spans="2:2" ht="13" x14ac:dyDescent="0.15">
      <c r="B153" s="6"/>
    </row>
    <row r="154" spans="2:2" ht="13" x14ac:dyDescent="0.15">
      <c r="B154" s="6"/>
    </row>
    <row r="155" spans="2:2" ht="13" x14ac:dyDescent="0.15">
      <c r="B155" s="6"/>
    </row>
    <row r="156" spans="2:2" ht="13" x14ac:dyDescent="0.15">
      <c r="B156" s="6"/>
    </row>
    <row r="157" spans="2:2" ht="13" x14ac:dyDescent="0.15">
      <c r="B157" s="6"/>
    </row>
    <row r="158" spans="2:2" ht="13" x14ac:dyDescent="0.15">
      <c r="B158" s="6"/>
    </row>
    <row r="159" spans="2:2" ht="13" x14ac:dyDescent="0.15">
      <c r="B159" s="6"/>
    </row>
    <row r="160" spans="2:2" ht="13" x14ac:dyDescent="0.15">
      <c r="B160" s="6"/>
    </row>
    <row r="161" spans="2:2" ht="13" x14ac:dyDescent="0.15">
      <c r="B161" s="6"/>
    </row>
    <row r="162" spans="2:2" ht="13" x14ac:dyDescent="0.15">
      <c r="B162" s="6"/>
    </row>
    <row r="163" spans="2:2" ht="13" x14ac:dyDescent="0.15">
      <c r="B163" s="6"/>
    </row>
    <row r="164" spans="2:2" ht="13" x14ac:dyDescent="0.15">
      <c r="B164" s="6"/>
    </row>
    <row r="165" spans="2:2" ht="13" x14ac:dyDescent="0.15">
      <c r="B165" s="6"/>
    </row>
    <row r="166" spans="2:2" ht="13" x14ac:dyDescent="0.15">
      <c r="B166" s="6"/>
    </row>
    <row r="167" spans="2:2" ht="13" x14ac:dyDescent="0.15">
      <c r="B167" s="6"/>
    </row>
    <row r="168" spans="2:2" ht="13" x14ac:dyDescent="0.15">
      <c r="B168" s="6"/>
    </row>
    <row r="169" spans="2:2" ht="13" x14ac:dyDescent="0.15">
      <c r="B169" s="6"/>
    </row>
    <row r="170" spans="2:2" ht="13" x14ac:dyDescent="0.15">
      <c r="B170" s="6"/>
    </row>
    <row r="171" spans="2:2" ht="13" x14ac:dyDescent="0.15">
      <c r="B171" s="6"/>
    </row>
    <row r="172" spans="2:2" ht="13" x14ac:dyDescent="0.15">
      <c r="B172" s="6"/>
    </row>
    <row r="173" spans="2:2" ht="13" x14ac:dyDescent="0.15">
      <c r="B173" s="6"/>
    </row>
    <row r="174" spans="2:2" ht="13" x14ac:dyDescent="0.15">
      <c r="B174" s="6"/>
    </row>
    <row r="175" spans="2:2" ht="13" x14ac:dyDescent="0.15">
      <c r="B175" s="6"/>
    </row>
    <row r="176" spans="2:2" ht="13" x14ac:dyDescent="0.15">
      <c r="B176" s="6"/>
    </row>
    <row r="177" spans="2:2" ht="13" x14ac:dyDescent="0.15">
      <c r="B177" s="6"/>
    </row>
    <row r="178" spans="2:2" ht="13" x14ac:dyDescent="0.15">
      <c r="B178" s="6"/>
    </row>
    <row r="179" spans="2:2" ht="13" x14ac:dyDescent="0.15">
      <c r="B179" s="6"/>
    </row>
    <row r="180" spans="2:2" ht="13" x14ac:dyDescent="0.15">
      <c r="B180" s="6"/>
    </row>
    <row r="181" spans="2:2" ht="13" x14ac:dyDescent="0.15">
      <c r="B181" s="6"/>
    </row>
    <row r="182" spans="2:2" ht="13" x14ac:dyDescent="0.15">
      <c r="B182" s="6"/>
    </row>
    <row r="183" spans="2:2" ht="13" x14ac:dyDescent="0.15">
      <c r="B183" s="6"/>
    </row>
    <row r="184" spans="2:2" ht="13" x14ac:dyDescent="0.15">
      <c r="B184" s="6"/>
    </row>
    <row r="185" spans="2:2" ht="13" x14ac:dyDescent="0.15">
      <c r="B185" s="6"/>
    </row>
    <row r="186" spans="2:2" ht="13" x14ac:dyDescent="0.15">
      <c r="B186" s="6"/>
    </row>
    <row r="187" spans="2:2" ht="13" x14ac:dyDescent="0.15">
      <c r="B187" s="6"/>
    </row>
    <row r="188" spans="2:2" ht="13" x14ac:dyDescent="0.15">
      <c r="B188" s="6"/>
    </row>
    <row r="189" spans="2:2" ht="13" x14ac:dyDescent="0.15">
      <c r="B189" s="6"/>
    </row>
    <row r="190" spans="2:2" ht="13" x14ac:dyDescent="0.15">
      <c r="B190" s="6"/>
    </row>
    <row r="191" spans="2:2" ht="13" x14ac:dyDescent="0.15">
      <c r="B191" s="6"/>
    </row>
    <row r="192" spans="2:2" ht="13" x14ac:dyDescent="0.15">
      <c r="B192" s="6"/>
    </row>
    <row r="193" spans="2:2" ht="13" x14ac:dyDescent="0.15">
      <c r="B193" s="6"/>
    </row>
    <row r="194" spans="2:2" ht="13" x14ac:dyDescent="0.15">
      <c r="B194" s="6"/>
    </row>
    <row r="195" spans="2:2" ht="13" x14ac:dyDescent="0.15">
      <c r="B195" s="6"/>
    </row>
    <row r="196" spans="2:2" ht="13" x14ac:dyDescent="0.15">
      <c r="B196" s="6"/>
    </row>
    <row r="197" spans="2:2" ht="13" x14ac:dyDescent="0.15">
      <c r="B197" s="6"/>
    </row>
    <row r="198" spans="2:2" ht="13" x14ac:dyDescent="0.15">
      <c r="B198" s="6"/>
    </row>
    <row r="199" spans="2:2" ht="13" x14ac:dyDescent="0.15">
      <c r="B199" s="6"/>
    </row>
    <row r="200" spans="2:2" ht="13" x14ac:dyDescent="0.15">
      <c r="B200" s="6"/>
    </row>
    <row r="201" spans="2:2" ht="13" x14ac:dyDescent="0.15">
      <c r="B201" s="6"/>
    </row>
    <row r="202" spans="2:2" ht="13" x14ac:dyDescent="0.15">
      <c r="B202" s="6"/>
    </row>
    <row r="203" spans="2:2" ht="13" x14ac:dyDescent="0.15">
      <c r="B203" s="6"/>
    </row>
    <row r="204" spans="2:2" ht="13" x14ac:dyDescent="0.15">
      <c r="B204" s="6"/>
    </row>
    <row r="205" spans="2:2" ht="13" x14ac:dyDescent="0.15">
      <c r="B205" s="6"/>
    </row>
    <row r="206" spans="2:2" ht="13" x14ac:dyDescent="0.15">
      <c r="B206" s="6"/>
    </row>
    <row r="207" spans="2:2" ht="13" x14ac:dyDescent="0.15">
      <c r="B207" s="6"/>
    </row>
    <row r="208" spans="2:2" ht="13" x14ac:dyDescent="0.15">
      <c r="B208" s="6"/>
    </row>
    <row r="209" spans="2:2" ht="13" x14ac:dyDescent="0.15">
      <c r="B209" s="6"/>
    </row>
    <row r="210" spans="2:2" ht="13" x14ac:dyDescent="0.15">
      <c r="B210" s="6"/>
    </row>
    <row r="211" spans="2:2" ht="13" x14ac:dyDescent="0.15">
      <c r="B211" s="6"/>
    </row>
    <row r="212" spans="2:2" ht="13" x14ac:dyDescent="0.15">
      <c r="B212" s="6"/>
    </row>
    <row r="213" spans="2:2" ht="13" x14ac:dyDescent="0.15">
      <c r="B213" s="6"/>
    </row>
    <row r="214" spans="2:2" ht="13" x14ac:dyDescent="0.15">
      <c r="B214" s="6"/>
    </row>
    <row r="215" spans="2:2" ht="13" x14ac:dyDescent="0.15">
      <c r="B215" s="6"/>
    </row>
    <row r="216" spans="2:2" ht="13" x14ac:dyDescent="0.15">
      <c r="B216" s="6"/>
    </row>
    <row r="217" spans="2:2" ht="13" x14ac:dyDescent="0.15">
      <c r="B217" s="6"/>
    </row>
    <row r="218" spans="2:2" ht="13" x14ac:dyDescent="0.15">
      <c r="B218" s="6"/>
    </row>
    <row r="219" spans="2:2" ht="13" x14ac:dyDescent="0.15">
      <c r="B219" s="6"/>
    </row>
    <row r="220" spans="2:2" ht="13" x14ac:dyDescent="0.15">
      <c r="B220" s="6"/>
    </row>
    <row r="221" spans="2:2" ht="13" x14ac:dyDescent="0.15">
      <c r="B221" s="6"/>
    </row>
    <row r="222" spans="2:2" ht="13" x14ac:dyDescent="0.15">
      <c r="B222" s="6"/>
    </row>
    <row r="223" spans="2:2" ht="13" x14ac:dyDescent="0.15">
      <c r="B223" s="6"/>
    </row>
    <row r="224" spans="2:2" ht="13" x14ac:dyDescent="0.15">
      <c r="B224" s="6"/>
    </row>
    <row r="225" spans="2:2" ht="13" x14ac:dyDescent="0.15">
      <c r="B225" s="6"/>
    </row>
    <row r="226" spans="2:2" ht="13" x14ac:dyDescent="0.15">
      <c r="B226" s="6"/>
    </row>
    <row r="227" spans="2:2" ht="13" x14ac:dyDescent="0.15">
      <c r="B227" s="6"/>
    </row>
    <row r="228" spans="2:2" ht="13" x14ac:dyDescent="0.15">
      <c r="B228" s="6"/>
    </row>
    <row r="229" spans="2:2" ht="13" x14ac:dyDescent="0.15">
      <c r="B229" s="6"/>
    </row>
    <row r="230" spans="2:2" ht="13" x14ac:dyDescent="0.15">
      <c r="B230" s="6"/>
    </row>
    <row r="231" spans="2:2" ht="13" x14ac:dyDescent="0.15">
      <c r="B231" s="6"/>
    </row>
    <row r="232" spans="2:2" ht="13" x14ac:dyDescent="0.15">
      <c r="B232" s="6"/>
    </row>
    <row r="233" spans="2:2" ht="13" x14ac:dyDescent="0.15">
      <c r="B233" s="6"/>
    </row>
    <row r="234" spans="2:2" ht="13" x14ac:dyDescent="0.15">
      <c r="B234" s="6"/>
    </row>
    <row r="235" spans="2:2" ht="13" x14ac:dyDescent="0.15">
      <c r="B235" s="6"/>
    </row>
    <row r="236" spans="2:2" ht="13" x14ac:dyDescent="0.15">
      <c r="B236" s="6"/>
    </row>
    <row r="237" spans="2:2" ht="13" x14ac:dyDescent="0.15">
      <c r="B237" s="6"/>
    </row>
    <row r="238" spans="2:2" ht="13" x14ac:dyDescent="0.15">
      <c r="B238" s="6"/>
    </row>
    <row r="239" spans="2:2" ht="13" x14ac:dyDescent="0.15">
      <c r="B239" s="6"/>
    </row>
    <row r="240" spans="2:2" ht="13" x14ac:dyDescent="0.15">
      <c r="B240" s="6"/>
    </row>
    <row r="241" spans="2:2" ht="13" x14ac:dyDescent="0.15">
      <c r="B241" s="6"/>
    </row>
    <row r="242" spans="2:2" ht="13" x14ac:dyDescent="0.15">
      <c r="B242" s="6"/>
    </row>
    <row r="243" spans="2:2" ht="13" x14ac:dyDescent="0.15">
      <c r="B243" s="6"/>
    </row>
    <row r="244" spans="2:2" ht="13" x14ac:dyDescent="0.15">
      <c r="B244" s="6"/>
    </row>
    <row r="245" spans="2:2" ht="13" x14ac:dyDescent="0.15">
      <c r="B245" s="6"/>
    </row>
    <row r="246" spans="2:2" ht="13" x14ac:dyDescent="0.15">
      <c r="B246" s="6"/>
    </row>
    <row r="247" spans="2:2" ht="13" x14ac:dyDescent="0.15">
      <c r="B247" s="6"/>
    </row>
    <row r="248" spans="2:2" ht="13" x14ac:dyDescent="0.15">
      <c r="B248" s="6"/>
    </row>
    <row r="249" spans="2:2" ht="13" x14ac:dyDescent="0.15">
      <c r="B249" s="6"/>
    </row>
    <row r="250" spans="2:2" ht="13" x14ac:dyDescent="0.15">
      <c r="B250" s="6"/>
    </row>
    <row r="251" spans="2:2" ht="13" x14ac:dyDescent="0.15">
      <c r="B251" s="6"/>
    </row>
    <row r="252" spans="2:2" ht="13" x14ac:dyDescent="0.15">
      <c r="B252" s="6"/>
    </row>
    <row r="253" spans="2:2" ht="13" x14ac:dyDescent="0.15">
      <c r="B253" s="6"/>
    </row>
    <row r="254" spans="2:2" ht="13" x14ac:dyDescent="0.15">
      <c r="B254" s="6"/>
    </row>
    <row r="255" spans="2:2" ht="13" x14ac:dyDescent="0.15">
      <c r="B255" s="6"/>
    </row>
    <row r="256" spans="2:2" ht="13" x14ac:dyDescent="0.15">
      <c r="B256" s="6"/>
    </row>
    <row r="257" spans="2:2" ht="13" x14ac:dyDescent="0.15">
      <c r="B257" s="6"/>
    </row>
    <row r="258" spans="2:2" ht="13" x14ac:dyDescent="0.15">
      <c r="B258" s="6"/>
    </row>
    <row r="259" spans="2:2" ht="13" x14ac:dyDescent="0.15">
      <c r="B259" s="6"/>
    </row>
    <row r="260" spans="2:2" ht="13" x14ac:dyDescent="0.15">
      <c r="B260" s="6"/>
    </row>
    <row r="261" spans="2:2" ht="13" x14ac:dyDescent="0.15">
      <c r="B261" s="6"/>
    </row>
    <row r="262" spans="2:2" ht="13" x14ac:dyDescent="0.15">
      <c r="B262" s="6"/>
    </row>
    <row r="263" spans="2:2" ht="13" x14ac:dyDescent="0.15">
      <c r="B263" s="6"/>
    </row>
    <row r="264" spans="2:2" ht="13" x14ac:dyDescent="0.15">
      <c r="B264" s="6"/>
    </row>
    <row r="265" spans="2:2" ht="13" x14ac:dyDescent="0.15">
      <c r="B265" s="6"/>
    </row>
    <row r="266" spans="2:2" ht="13" x14ac:dyDescent="0.15">
      <c r="B266" s="6"/>
    </row>
    <row r="267" spans="2:2" ht="13" x14ac:dyDescent="0.15">
      <c r="B267" s="6"/>
    </row>
    <row r="268" spans="2:2" ht="13" x14ac:dyDescent="0.15">
      <c r="B268" s="6"/>
    </row>
    <row r="269" spans="2:2" ht="13" x14ac:dyDescent="0.15">
      <c r="B269" s="6"/>
    </row>
    <row r="270" spans="2:2" ht="13" x14ac:dyDescent="0.15">
      <c r="B270" s="6"/>
    </row>
    <row r="271" spans="2:2" ht="13" x14ac:dyDescent="0.15">
      <c r="B271" s="6"/>
    </row>
    <row r="272" spans="2:2" ht="13" x14ac:dyDescent="0.15">
      <c r="B272" s="6"/>
    </row>
    <row r="273" spans="2:2" ht="13" x14ac:dyDescent="0.15">
      <c r="B273" s="6"/>
    </row>
    <row r="274" spans="2:2" ht="13" x14ac:dyDescent="0.15">
      <c r="B274" s="6"/>
    </row>
    <row r="275" spans="2:2" ht="13" x14ac:dyDescent="0.15">
      <c r="B275" s="6"/>
    </row>
    <row r="276" spans="2:2" ht="13" x14ac:dyDescent="0.15">
      <c r="B276" s="6"/>
    </row>
    <row r="277" spans="2:2" ht="13" x14ac:dyDescent="0.15">
      <c r="B277" s="6"/>
    </row>
    <row r="278" spans="2:2" ht="13" x14ac:dyDescent="0.15">
      <c r="B278" s="6"/>
    </row>
    <row r="279" spans="2:2" ht="13" x14ac:dyDescent="0.15">
      <c r="B279" s="6"/>
    </row>
    <row r="280" spans="2:2" ht="13" x14ac:dyDescent="0.15">
      <c r="B280" s="6"/>
    </row>
    <row r="281" spans="2:2" ht="13" x14ac:dyDescent="0.15">
      <c r="B281" s="6"/>
    </row>
    <row r="282" spans="2:2" ht="13" x14ac:dyDescent="0.15">
      <c r="B282" s="6"/>
    </row>
    <row r="283" spans="2:2" ht="13" x14ac:dyDescent="0.15">
      <c r="B283" s="6"/>
    </row>
    <row r="284" spans="2:2" ht="13" x14ac:dyDescent="0.15">
      <c r="B284" s="6"/>
    </row>
    <row r="285" spans="2:2" ht="13" x14ac:dyDescent="0.15">
      <c r="B285" s="6"/>
    </row>
    <row r="286" spans="2:2" ht="13" x14ac:dyDescent="0.15">
      <c r="B286" s="6"/>
    </row>
    <row r="287" spans="2:2" ht="13" x14ac:dyDescent="0.15">
      <c r="B287" s="6"/>
    </row>
    <row r="288" spans="2:2" ht="13" x14ac:dyDescent="0.15">
      <c r="B288" s="6"/>
    </row>
    <row r="289" spans="2:2" ht="13" x14ac:dyDescent="0.15">
      <c r="B289" s="6"/>
    </row>
    <row r="290" spans="2:2" ht="13" x14ac:dyDescent="0.15">
      <c r="B290" s="6"/>
    </row>
    <row r="291" spans="2:2" ht="13" x14ac:dyDescent="0.15">
      <c r="B291" s="6"/>
    </row>
    <row r="292" spans="2:2" ht="13" x14ac:dyDescent="0.15">
      <c r="B292" s="6"/>
    </row>
    <row r="293" spans="2:2" ht="13" x14ac:dyDescent="0.15">
      <c r="B293" s="6"/>
    </row>
    <row r="294" spans="2:2" ht="13" x14ac:dyDescent="0.15">
      <c r="B294" s="6"/>
    </row>
    <row r="295" spans="2:2" ht="13" x14ac:dyDescent="0.15">
      <c r="B295" s="6"/>
    </row>
    <row r="296" spans="2:2" ht="13" x14ac:dyDescent="0.15">
      <c r="B296" s="6"/>
    </row>
    <row r="297" spans="2:2" ht="13" x14ac:dyDescent="0.15">
      <c r="B297" s="6"/>
    </row>
    <row r="298" spans="2:2" ht="13" x14ac:dyDescent="0.15">
      <c r="B298" s="6"/>
    </row>
    <row r="299" spans="2:2" ht="13" x14ac:dyDescent="0.15">
      <c r="B299" s="6"/>
    </row>
    <row r="300" spans="2:2" ht="13" x14ac:dyDescent="0.15">
      <c r="B300" s="6"/>
    </row>
    <row r="301" spans="2:2" ht="13" x14ac:dyDescent="0.15">
      <c r="B301" s="6"/>
    </row>
    <row r="302" spans="2:2" ht="13" x14ac:dyDescent="0.15">
      <c r="B302" s="6"/>
    </row>
    <row r="303" spans="2:2" ht="13" x14ac:dyDescent="0.15">
      <c r="B303" s="6"/>
    </row>
    <row r="304" spans="2:2" ht="13" x14ac:dyDescent="0.15">
      <c r="B304" s="6"/>
    </row>
    <row r="305" spans="2:2" ht="13" x14ac:dyDescent="0.15">
      <c r="B305" s="6"/>
    </row>
    <row r="306" spans="2:2" ht="13" x14ac:dyDescent="0.15">
      <c r="B306" s="6"/>
    </row>
    <row r="307" spans="2:2" ht="13" x14ac:dyDescent="0.15">
      <c r="B307" s="6"/>
    </row>
    <row r="308" spans="2:2" ht="13" x14ac:dyDescent="0.15">
      <c r="B308" s="6"/>
    </row>
    <row r="309" spans="2:2" ht="13" x14ac:dyDescent="0.15">
      <c r="B309" s="6"/>
    </row>
    <row r="310" spans="2:2" ht="13" x14ac:dyDescent="0.15">
      <c r="B310" s="6"/>
    </row>
    <row r="311" spans="2:2" ht="13" x14ac:dyDescent="0.15">
      <c r="B311" s="6"/>
    </row>
    <row r="312" spans="2:2" ht="13" x14ac:dyDescent="0.15">
      <c r="B312" s="6"/>
    </row>
    <row r="313" spans="2:2" ht="13" x14ac:dyDescent="0.15">
      <c r="B313" s="6"/>
    </row>
    <row r="314" spans="2:2" ht="13" x14ac:dyDescent="0.15">
      <c r="B314" s="6"/>
    </row>
    <row r="315" spans="2:2" ht="13" x14ac:dyDescent="0.15">
      <c r="B315" s="6"/>
    </row>
    <row r="316" spans="2:2" ht="13" x14ac:dyDescent="0.15">
      <c r="B316" s="6"/>
    </row>
    <row r="317" spans="2:2" ht="13" x14ac:dyDescent="0.15">
      <c r="B317" s="6"/>
    </row>
    <row r="318" spans="2:2" ht="13" x14ac:dyDescent="0.15">
      <c r="B318" s="6"/>
    </row>
    <row r="319" spans="2:2" ht="13" x14ac:dyDescent="0.15">
      <c r="B319" s="6"/>
    </row>
    <row r="320" spans="2:2" ht="13" x14ac:dyDescent="0.15">
      <c r="B320" s="6"/>
    </row>
    <row r="321" spans="2:2" ht="13" x14ac:dyDescent="0.15">
      <c r="B321" s="6"/>
    </row>
    <row r="322" spans="2:2" ht="13" x14ac:dyDescent="0.15">
      <c r="B322" s="6"/>
    </row>
    <row r="323" spans="2:2" ht="13" x14ac:dyDescent="0.15">
      <c r="B323" s="6"/>
    </row>
    <row r="324" spans="2:2" ht="13" x14ac:dyDescent="0.15">
      <c r="B324" s="6"/>
    </row>
    <row r="325" spans="2:2" ht="13" x14ac:dyDescent="0.15">
      <c r="B325" s="6"/>
    </row>
    <row r="326" spans="2:2" ht="13" x14ac:dyDescent="0.15">
      <c r="B326" s="6"/>
    </row>
    <row r="327" spans="2:2" ht="13" x14ac:dyDescent="0.15">
      <c r="B327" s="6"/>
    </row>
    <row r="328" spans="2:2" ht="13" x14ac:dyDescent="0.15">
      <c r="B328" s="6"/>
    </row>
    <row r="329" spans="2:2" ht="13" x14ac:dyDescent="0.15">
      <c r="B329" s="6"/>
    </row>
    <row r="330" spans="2:2" ht="13" x14ac:dyDescent="0.15">
      <c r="B330" s="6"/>
    </row>
    <row r="331" spans="2:2" ht="13" x14ac:dyDescent="0.15">
      <c r="B331" s="6"/>
    </row>
    <row r="332" spans="2:2" ht="13" x14ac:dyDescent="0.15">
      <c r="B332" s="6"/>
    </row>
    <row r="333" spans="2:2" ht="13" x14ac:dyDescent="0.15">
      <c r="B333" s="6"/>
    </row>
    <row r="334" spans="2:2" ht="13" x14ac:dyDescent="0.15">
      <c r="B334" s="6"/>
    </row>
    <row r="335" spans="2:2" ht="13" x14ac:dyDescent="0.15">
      <c r="B335" s="6"/>
    </row>
    <row r="336" spans="2:2" ht="13" x14ac:dyDescent="0.15">
      <c r="B336" s="6"/>
    </row>
    <row r="337" spans="2:2" ht="13" x14ac:dyDescent="0.15">
      <c r="B337" s="6"/>
    </row>
    <row r="338" spans="2:2" ht="13" x14ac:dyDescent="0.15">
      <c r="B338" s="6"/>
    </row>
    <row r="339" spans="2:2" ht="13" x14ac:dyDescent="0.15">
      <c r="B339" s="6"/>
    </row>
    <row r="340" spans="2:2" ht="13" x14ac:dyDescent="0.15">
      <c r="B340" s="6"/>
    </row>
    <row r="341" spans="2:2" ht="13" x14ac:dyDescent="0.15">
      <c r="B341" s="6"/>
    </row>
    <row r="342" spans="2:2" ht="13" x14ac:dyDescent="0.15">
      <c r="B342" s="6"/>
    </row>
    <row r="343" spans="2:2" ht="13" x14ac:dyDescent="0.15">
      <c r="B343" s="6"/>
    </row>
    <row r="344" spans="2:2" ht="13" x14ac:dyDescent="0.15">
      <c r="B344" s="6"/>
    </row>
    <row r="345" spans="2:2" ht="13" x14ac:dyDescent="0.15">
      <c r="B345" s="6"/>
    </row>
    <row r="346" spans="2:2" ht="13" x14ac:dyDescent="0.15">
      <c r="B346" s="6"/>
    </row>
    <row r="347" spans="2:2" ht="13" x14ac:dyDescent="0.15">
      <c r="B347" s="6"/>
    </row>
    <row r="348" spans="2:2" ht="13" x14ac:dyDescent="0.15">
      <c r="B348" s="6"/>
    </row>
    <row r="349" spans="2:2" ht="13" x14ac:dyDescent="0.15">
      <c r="B349" s="6"/>
    </row>
    <row r="350" spans="2:2" ht="13" x14ac:dyDescent="0.15">
      <c r="B350" s="6"/>
    </row>
    <row r="351" spans="2:2" ht="13" x14ac:dyDescent="0.15">
      <c r="B351" s="6"/>
    </row>
    <row r="352" spans="2:2" ht="13" x14ac:dyDescent="0.15">
      <c r="B352" s="6"/>
    </row>
    <row r="353" spans="2:2" ht="13" x14ac:dyDescent="0.15">
      <c r="B353" s="6"/>
    </row>
    <row r="354" spans="2:2" ht="13" x14ac:dyDescent="0.15">
      <c r="B354" s="6"/>
    </row>
    <row r="355" spans="2:2" ht="13" x14ac:dyDescent="0.15">
      <c r="B355" s="6"/>
    </row>
    <row r="356" spans="2:2" ht="13" x14ac:dyDescent="0.15">
      <c r="B356" s="6"/>
    </row>
    <row r="357" spans="2:2" ht="13" x14ac:dyDescent="0.15">
      <c r="B357" s="6"/>
    </row>
    <row r="358" spans="2:2" ht="13" x14ac:dyDescent="0.15">
      <c r="B358" s="6"/>
    </row>
    <row r="359" spans="2:2" ht="13" x14ac:dyDescent="0.15">
      <c r="B359" s="6"/>
    </row>
    <row r="360" spans="2:2" ht="13" x14ac:dyDescent="0.15">
      <c r="B360" s="6"/>
    </row>
    <row r="361" spans="2:2" ht="13" x14ac:dyDescent="0.15">
      <c r="B361" s="6"/>
    </row>
    <row r="362" spans="2:2" ht="13" x14ac:dyDescent="0.15">
      <c r="B362" s="6"/>
    </row>
    <row r="363" spans="2:2" ht="13" x14ac:dyDescent="0.15">
      <c r="B363" s="6"/>
    </row>
    <row r="364" spans="2:2" ht="13" x14ac:dyDescent="0.15">
      <c r="B364" s="6"/>
    </row>
    <row r="365" spans="2:2" ht="13" x14ac:dyDescent="0.15">
      <c r="B365" s="6"/>
    </row>
    <row r="366" spans="2:2" ht="13" x14ac:dyDescent="0.15">
      <c r="B366" s="6"/>
    </row>
    <row r="367" spans="2:2" ht="13" x14ac:dyDescent="0.15">
      <c r="B367" s="6"/>
    </row>
    <row r="368" spans="2:2" ht="13" x14ac:dyDescent="0.15">
      <c r="B368" s="6"/>
    </row>
    <row r="369" spans="2:2" ht="13" x14ac:dyDescent="0.15">
      <c r="B369" s="6"/>
    </row>
    <row r="370" spans="2:2" ht="13" x14ac:dyDescent="0.15">
      <c r="B370" s="6"/>
    </row>
    <row r="371" spans="2:2" ht="13" x14ac:dyDescent="0.15">
      <c r="B371" s="6"/>
    </row>
    <row r="372" spans="2:2" ht="13" x14ac:dyDescent="0.15">
      <c r="B372" s="6"/>
    </row>
    <row r="373" spans="2:2" ht="13" x14ac:dyDescent="0.15">
      <c r="B373" s="6"/>
    </row>
    <row r="374" spans="2:2" ht="13" x14ac:dyDescent="0.15">
      <c r="B374" s="6"/>
    </row>
    <row r="375" spans="2:2" ht="13" x14ac:dyDescent="0.15">
      <c r="B375" s="6"/>
    </row>
    <row r="376" spans="2:2" ht="13" x14ac:dyDescent="0.15">
      <c r="B376" s="6"/>
    </row>
    <row r="377" spans="2:2" ht="13" x14ac:dyDescent="0.15">
      <c r="B377" s="6"/>
    </row>
    <row r="378" spans="2:2" ht="13" x14ac:dyDescent="0.15">
      <c r="B378" s="6"/>
    </row>
    <row r="379" spans="2:2" ht="13" x14ac:dyDescent="0.15">
      <c r="B379" s="6"/>
    </row>
    <row r="380" spans="2:2" ht="13" x14ac:dyDescent="0.15">
      <c r="B380" s="6"/>
    </row>
    <row r="381" spans="2:2" ht="13" x14ac:dyDescent="0.15">
      <c r="B381" s="6"/>
    </row>
    <row r="382" spans="2:2" ht="13" x14ac:dyDescent="0.15">
      <c r="B382" s="6"/>
    </row>
    <row r="383" spans="2:2" ht="13" x14ac:dyDescent="0.15">
      <c r="B383" s="6"/>
    </row>
    <row r="384" spans="2:2" ht="13" x14ac:dyDescent="0.15">
      <c r="B384" s="6"/>
    </row>
    <row r="385" spans="2:2" ht="13" x14ac:dyDescent="0.15">
      <c r="B385" s="6"/>
    </row>
    <row r="386" spans="2:2" ht="13" x14ac:dyDescent="0.15">
      <c r="B386" s="6"/>
    </row>
    <row r="387" spans="2:2" ht="13" x14ac:dyDescent="0.15">
      <c r="B387" s="6"/>
    </row>
    <row r="388" spans="2:2" ht="13" x14ac:dyDescent="0.15">
      <c r="B388" s="6"/>
    </row>
    <row r="389" spans="2:2" ht="13" x14ac:dyDescent="0.15">
      <c r="B389" s="6"/>
    </row>
    <row r="390" spans="2:2" ht="13" x14ac:dyDescent="0.15">
      <c r="B390" s="6"/>
    </row>
    <row r="391" spans="2:2" ht="13" x14ac:dyDescent="0.15">
      <c r="B391" s="6"/>
    </row>
    <row r="392" spans="2:2" ht="13" x14ac:dyDescent="0.15">
      <c r="B392" s="6"/>
    </row>
    <row r="393" spans="2:2" ht="13" x14ac:dyDescent="0.15">
      <c r="B393" s="6"/>
    </row>
    <row r="394" spans="2:2" ht="13" x14ac:dyDescent="0.15">
      <c r="B394" s="6"/>
    </row>
    <row r="395" spans="2:2" ht="13" x14ac:dyDescent="0.15">
      <c r="B395" s="6"/>
    </row>
    <row r="396" spans="2:2" ht="13" x14ac:dyDescent="0.15">
      <c r="B396" s="6"/>
    </row>
    <row r="397" spans="2:2" ht="13" x14ac:dyDescent="0.15">
      <c r="B397" s="6"/>
    </row>
    <row r="398" spans="2:2" ht="13" x14ac:dyDescent="0.15">
      <c r="B398" s="6"/>
    </row>
    <row r="399" spans="2:2" ht="13" x14ac:dyDescent="0.15">
      <c r="B399" s="6"/>
    </row>
    <row r="400" spans="2:2" ht="13" x14ac:dyDescent="0.15">
      <c r="B400" s="6"/>
    </row>
    <row r="401" spans="2:2" ht="13" x14ac:dyDescent="0.15">
      <c r="B401" s="6"/>
    </row>
    <row r="402" spans="2:2" ht="13" x14ac:dyDescent="0.15">
      <c r="B402" s="6"/>
    </row>
    <row r="403" spans="2:2" ht="13" x14ac:dyDescent="0.15">
      <c r="B403" s="6"/>
    </row>
    <row r="404" spans="2:2" ht="13" x14ac:dyDescent="0.15">
      <c r="B404" s="6"/>
    </row>
    <row r="405" spans="2:2" ht="13" x14ac:dyDescent="0.15">
      <c r="B405" s="6"/>
    </row>
    <row r="406" spans="2:2" ht="13" x14ac:dyDescent="0.15">
      <c r="B406" s="6"/>
    </row>
    <row r="407" spans="2:2" ht="13" x14ac:dyDescent="0.15">
      <c r="B407" s="6"/>
    </row>
    <row r="408" spans="2:2" ht="13" x14ac:dyDescent="0.15">
      <c r="B408" s="6"/>
    </row>
    <row r="409" spans="2:2" ht="13" x14ac:dyDescent="0.15">
      <c r="B409" s="6"/>
    </row>
    <row r="410" spans="2:2" ht="13" x14ac:dyDescent="0.15">
      <c r="B410" s="6"/>
    </row>
    <row r="411" spans="2:2" ht="13" x14ac:dyDescent="0.15">
      <c r="B411" s="6"/>
    </row>
    <row r="412" spans="2:2" ht="13" x14ac:dyDescent="0.15">
      <c r="B412" s="6"/>
    </row>
    <row r="413" spans="2:2" ht="13" x14ac:dyDescent="0.15">
      <c r="B413" s="6"/>
    </row>
    <row r="414" spans="2:2" ht="13" x14ac:dyDescent="0.15">
      <c r="B414" s="6"/>
    </row>
    <row r="415" spans="2:2" ht="13" x14ac:dyDescent="0.15">
      <c r="B415" s="6"/>
    </row>
    <row r="416" spans="2:2" ht="13" x14ac:dyDescent="0.15">
      <c r="B416" s="6"/>
    </row>
    <row r="417" spans="2:2" ht="13" x14ac:dyDescent="0.15">
      <c r="B417" s="6"/>
    </row>
    <row r="418" spans="2:2" ht="13" x14ac:dyDescent="0.15">
      <c r="B418" s="6"/>
    </row>
    <row r="419" spans="2:2" ht="13" x14ac:dyDescent="0.15">
      <c r="B419" s="6"/>
    </row>
    <row r="420" spans="2:2" ht="13" x14ac:dyDescent="0.15">
      <c r="B420" s="6"/>
    </row>
    <row r="421" spans="2:2" ht="13" x14ac:dyDescent="0.15">
      <c r="B421" s="6"/>
    </row>
    <row r="422" spans="2:2" ht="13" x14ac:dyDescent="0.15">
      <c r="B422" s="6"/>
    </row>
    <row r="423" spans="2:2" ht="13" x14ac:dyDescent="0.15">
      <c r="B423" s="6"/>
    </row>
    <row r="424" spans="2:2" ht="13" x14ac:dyDescent="0.15">
      <c r="B424" s="6"/>
    </row>
    <row r="425" spans="2:2" ht="13" x14ac:dyDescent="0.15">
      <c r="B425" s="6"/>
    </row>
    <row r="426" spans="2:2" ht="13" x14ac:dyDescent="0.15">
      <c r="B426" s="6"/>
    </row>
    <row r="427" spans="2:2" ht="13" x14ac:dyDescent="0.15">
      <c r="B427" s="6"/>
    </row>
    <row r="428" spans="2:2" ht="13" x14ac:dyDescent="0.15">
      <c r="B428" s="6"/>
    </row>
    <row r="429" spans="2:2" ht="13" x14ac:dyDescent="0.15">
      <c r="B429" s="6"/>
    </row>
    <row r="430" spans="2:2" ht="13" x14ac:dyDescent="0.15">
      <c r="B430" s="6"/>
    </row>
    <row r="431" spans="2:2" ht="13" x14ac:dyDescent="0.15">
      <c r="B431" s="6"/>
    </row>
    <row r="432" spans="2:2" ht="13" x14ac:dyDescent="0.15">
      <c r="B432" s="6"/>
    </row>
    <row r="433" spans="2:2" ht="13" x14ac:dyDescent="0.15">
      <c r="B433" s="6"/>
    </row>
    <row r="434" spans="2:2" ht="13" x14ac:dyDescent="0.15">
      <c r="B434" s="6"/>
    </row>
    <row r="435" spans="2:2" ht="13" x14ac:dyDescent="0.15">
      <c r="B435" s="6"/>
    </row>
    <row r="436" spans="2:2" ht="13" x14ac:dyDescent="0.15">
      <c r="B436" s="6"/>
    </row>
    <row r="437" spans="2:2" ht="13" x14ac:dyDescent="0.15">
      <c r="B437" s="6"/>
    </row>
    <row r="438" spans="2:2" ht="13" x14ac:dyDescent="0.15">
      <c r="B438" s="6"/>
    </row>
    <row r="439" spans="2:2" ht="13" x14ac:dyDescent="0.15">
      <c r="B439" s="6"/>
    </row>
    <row r="440" spans="2:2" ht="13" x14ac:dyDescent="0.15">
      <c r="B440" s="6"/>
    </row>
    <row r="441" spans="2:2" ht="13" x14ac:dyDescent="0.15">
      <c r="B441" s="6"/>
    </row>
    <row r="442" spans="2:2" ht="13" x14ac:dyDescent="0.15">
      <c r="B442" s="6"/>
    </row>
    <row r="443" spans="2:2" ht="13" x14ac:dyDescent="0.15">
      <c r="B443" s="6"/>
    </row>
    <row r="444" spans="2:2" ht="13" x14ac:dyDescent="0.15">
      <c r="B444" s="6"/>
    </row>
    <row r="445" spans="2:2" ht="13" x14ac:dyDescent="0.15">
      <c r="B445" s="6"/>
    </row>
    <row r="446" spans="2:2" ht="13" x14ac:dyDescent="0.15">
      <c r="B446" s="6"/>
    </row>
    <row r="447" spans="2:2" ht="13" x14ac:dyDescent="0.15">
      <c r="B447" s="6"/>
    </row>
    <row r="448" spans="2:2" ht="13" x14ac:dyDescent="0.15">
      <c r="B448" s="6"/>
    </row>
    <row r="449" spans="2:2" ht="13" x14ac:dyDescent="0.15">
      <c r="B449" s="6"/>
    </row>
    <row r="450" spans="2:2" ht="13" x14ac:dyDescent="0.15">
      <c r="B450" s="6"/>
    </row>
    <row r="451" spans="2:2" ht="13" x14ac:dyDescent="0.15">
      <c r="B451" s="6"/>
    </row>
    <row r="452" spans="2:2" ht="13" x14ac:dyDescent="0.15">
      <c r="B452" s="6"/>
    </row>
    <row r="453" spans="2:2" ht="13" x14ac:dyDescent="0.15">
      <c r="B453" s="6"/>
    </row>
    <row r="454" spans="2:2" ht="13" x14ac:dyDescent="0.15">
      <c r="B454" s="6"/>
    </row>
    <row r="455" spans="2:2" ht="13" x14ac:dyDescent="0.15">
      <c r="B455" s="6"/>
    </row>
    <row r="456" spans="2:2" ht="13" x14ac:dyDescent="0.15">
      <c r="B456" s="6"/>
    </row>
    <row r="457" spans="2:2" ht="13" x14ac:dyDescent="0.15">
      <c r="B457" s="6"/>
    </row>
    <row r="458" spans="2:2" ht="13" x14ac:dyDescent="0.15">
      <c r="B458" s="6"/>
    </row>
    <row r="459" spans="2:2" ht="13" x14ac:dyDescent="0.15">
      <c r="B459" s="6"/>
    </row>
    <row r="460" spans="2:2" ht="13" x14ac:dyDescent="0.15">
      <c r="B460" s="6"/>
    </row>
    <row r="461" spans="2:2" ht="13" x14ac:dyDescent="0.15">
      <c r="B461" s="6"/>
    </row>
    <row r="462" spans="2:2" ht="13" x14ac:dyDescent="0.15">
      <c r="B462" s="6"/>
    </row>
    <row r="463" spans="2:2" ht="13" x14ac:dyDescent="0.15">
      <c r="B463" s="6"/>
    </row>
    <row r="464" spans="2:2" ht="13" x14ac:dyDescent="0.15">
      <c r="B464" s="6"/>
    </row>
    <row r="465" spans="2:2" ht="13" x14ac:dyDescent="0.15">
      <c r="B465" s="6"/>
    </row>
    <row r="466" spans="2:2" ht="13" x14ac:dyDescent="0.15">
      <c r="B466" s="6"/>
    </row>
    <row r="467" spans="2:2" ht="13" x14ac:dyDescent="0.15">
      <c r="B467" s="6"/>
    </row>
    <row r="468" spans="2:2" ht="13" x14ac:dyDescent="0.15">
      <c r="B468" s="6"/>
    </row>
    <row r="469" spans="2:2" ht="13" x14ac:dyDescent="0.15">
      <c r="B469" s="6"/>
    </row>
    <row r="470" spans="2:2" ht="13" x14ac:dyDescent="0.15">
      <c r="B470" s="6"/>
    </row>
    <row r="471" spans="2:2" ht="13" x14ac:dyDescent="0.15">
      <c r="B471" s="6"/>
    </row>
    <row r="472" spans="2:2" ht="13" x14ac:dyDescent="0.15">
      <c r="B472" s="6"/>
    </row>
    <row r="473" spans="2:2" ht="13" x14ac:dyDescent="0.15">
      <c r="B473" s="6"/>
    </row>
    <row r="474" spans="2:2" ht="13" x14ac:dyDescent="0.15">
      <c r="B474" s="6"/>
    </row>
    <row r="475" spans="2:2" ht="13" x14ac:dyDescent="0.15">
      <c r="B475" s="6"/>
    </row>
    <row r="476" spans="2:2" ht="13" x14ac:dyDescent="0.15">
      <c r="B476" s="6"/>
    </row>
    <row r="477" spans="2:2" ht="13" x14ac:dyDescent="0.15">
      <c r="B477" s="6"/>
    </row>
    <row r="478" spans="2:2" ht="13" x14ac:dyDescent="0.15">
      <c r="B478" s="6"/>
    </row>
    <row r="479" spans="2:2" ht="13" x14ac:dyDescent="0.15">
      <c r="B479" s="6"/>
    </row>
    <row r="480" spans="2:2" ht="13" x14ac:dyDescent="0.15">
      <c r="B480" s="6"/>
    </row>
    <row r="481" spans="2:2" ht="13" x14ac:dyDescent="0.15">
      <c r="B481" s="6"/>
    </row>
    <row r="482" spans="2:2" ht="13" x14ac:dyDescent="0.15">
      <c r="B482" s="6"/>
    </row>
    <row r="483" spans="2:2" ht="13" x14ac:dyDescent="0.15">
      <c r="B483" s="6"/>
    </row>
    <row r="484" spans="2:2" ht="13" x14ac:dyDescent="0.15">
      <c r="B484" s="6"/>
    </row>
    <row r="485" spans="2:2" ht="13" x14ac:dyDescent="0.15">
      <c r="B485" s="6"/>
    </row>
    <row r="486" spans="2:2" ht="13" x14ac:dyDescent="0.15">
      <c r="B486" s="6"/>
    </row>
    <row r="487" spans="2:2" ht="13" x14ac:dyDescent="0.15">
      <c r="B487" s="6"/>
    </row>
    <row r="488" spans="2:2" ht="13" x14ac:dyDescent="0.15">
      <c r="B488" s="6"/>
    </row>
    <row r="489" spans="2:2" ht="13" x14ac:dyDescent="0.15">
      <c r="B489" s="6"/>
    </row>
    <row r="490" spans="2:2" ht="13" x14ac:dyDescent="0.15">
      <c r="B490" s="6"/>
    </row>
    <row r="491" spans="2:2" ht="13" x14ac:dyDescent="0.15">
      <c r="B491" s="6"/>
    </row>
    <row r="492" spans="2:2" ht="13" x14ac:dyDescent="0.15">
      <c r="B492" s="6"/>
    </row>
    <row r="493" spans="2:2" ht="13" x14ac:dyDescent="0.15">
      <c r="B493" s="6"/>
    </row>
    <row r="494" spans="2:2" ht="13" x14ac:dyDescent="0.15">
      <c r="B494" s="6"/>
    </row>
    <row r="495" spans="2:2" ht="13" x14ac:dyDescent="0.15">
      <c r="B495" s="6"/>
    </row>
    <row r="496" spans="2:2" ht="13" x14ac:dyDescent="0.15">
      <c r="B496" s="6"/>
    </row>
    <row r="497" spans="2:2" ht="13" x14ac:dyDescent="0.15">
      <c r="B497" s="6"/>
    </row>
    <row r="498" spans="2:2" ht="13" x14ac:dyDescent="0.15">
      <c r="B498" s="6"/>
    </row>
    <row r="499" spans="2:2" ht="13" x14ac:dyDescent="0.15">
      <c r="B499" s="6"/>
    </row>
    <row r="500" spans="2:2" ht="13" x14ac:dyDescent="0.15">
      <c r="B500" s="6"/>
    </row>
    <row r="501" spans="2:2" ht="13" x14ac:dyDescent="0.15">
      <c r="B501" s="6"/>
    </row>
    <row r="502" spans="2:2" ht="13" x14ac:dyDescent="0.15">
      <c r="B502" s="6"/>
    </row>
    <row r="503" spans="2:2" ht="13" x14ac:dyDescent="0.15">
      <c r="B503" s="6"/>
    </row>
    <row r="504" spans="2:2" ht="13" x14ac:dyDescent="0.15">
      <c r="B504" s="6"/>
    </row>
    <row r="505" spans="2:2" ht="13" x14ac:dyDescent="0.15">
      <c r="B505" s="6"/>
    </row>
    <row r="506" spans="2:2" ht="13" x14ac:dyDescent="0.15">
      <c r="B506" s="6"/>
    </row>
    <row r="507" spans="2:2" ht="13" x14ac:dyDescent="0.15">
      <c r="B507" s="6"/>
    </row>
    <row r="508" spans="2:2" ht="13" x14ac:dyDescent="0.15">
      <c r="B508" s="6"/>
    </row>
    <row r="509" spans="2:2" ht="13" x14ac:dyDescent="0.15">
      <c r="B509" s="6"/>
    </row>
    <row r="510" spans="2:2" ht="13" x14ac:dyDescent="0.15">
      <c r="B510" s="6"/>
    </row>
    <row r="511" spans="2:2" ht="13" x14ac:dyDescent="0.15">
      <c r="B511" s="6"/>
    </row>
    <row r="512" spans="2:2" ht="13" x14ac:dyDescent="0.15">
      <c r="B512" s="6"/>
    </row>
    <row r="513" spans="2:2" ht="13" x14ac:dyDescent="0.15">
      <c r="B513" s="6"/>
    </row>
    <row r="514" spans="2:2" ht="13" x14ac:dyDescent="0.15">
      <c r="B514" s="6"/>
    </row>
    <row r="515" spans="2:2" ht="13" x14ac:dyDescent="0.15">
      <c r="B515" s="6"/>
    </row>
    <row r="516" spans="2:2" ht="13" x14ac:dyDescent="0.15">
      <c r="B516" s="6"/>
    </row>
    <row r="517" spans="2:2" ht="13" x14ac:dyDescent="0.15">
      <c r="B517" s="6"/>
    </row>
    <row r="518" spans="2:2" ht="13" x14ac:dyDescent="0.15">
      <c r="B518" s="6"/>
    </row>
    <row r="519" spans="2:2" ht="13" x14ac:dyDescent="0.15">
      <c r="B519" s="6"/>
    </row>
    <row r="520" spans="2:2" ht="13" x14ac:dyDescent="0.15">
      <c r="B520" s="6"/>
    </row>
    <row r="521" spans="2:2" ht="13" x14ac:dyDescent="0.15">
      <c r="B521" s="6"/>
    </row>
    <row r="522" spans="2:2" ht="13" x14ac:dyDescent="0.15">
      <c r="B522" s="6"/>
    </row>
    <row r="523" spans="2:2" ht="13" x14ac:dyDescent="0.15">
      <c r="B523" s="6"/>
    </row>
    <row r="524" spans="2:2" ht="13" x14ac:dyDescent="0.15">
      <c r="B524" s="6"/>
    </row>
    <row r="525" spans="2:2" ht="13" x14ac:dyDescent="0.15">
      <c r="B525" s="6"/>
    </row>
    <row r="526" spans="2:2" ht="13" x14ac:dyDescent="0.15">
      <c r="B526" s="6"/>
    </row>
    <row r="527" spans="2:2" ht="13" x14ac:dyDescent="0.15">
      <c r="B527" s="6"/>
    </row>
    <row r="528" spans="2:2" ht="13" x14ac:dyDescent="0.15">
      <c r="B528" s="6"/>
    </row>
    <row r="529" spans="2:2" ht="13" x14ac:dyDescent="0.15">
      <c r="B529" s="6"/>
    </row>
    <row r="530" spans="2:2" ht="13" x14ac:dyDescent="0.15">
      <c r="B530" s="6"/>
    </row>
    <row r="531" spans="2:2" ht="13" x14ac:dyDescent="0.15">
      <c r="B531" s="6"/>
    </row>
    <row r="532" spans="2:2" ht="13" x14ac:dyDescent="0.15">
      <c r="B532" s="6"/>
    </row>
    <row r="533" spans="2:2" ht="13" x14ac:dyDescent="0.15">
      <c r="B533" s="6"/>
    </row>
    <row r="534" spans="2:2" ht="13" x14ac:dyDescent="0.15">
      <c r="B534" s="6"/>
    </row>
    <row r="535" spans="2:2" ht="13" x14ac:dyDescent="0.15">
      <c r="B535" s="6"/>
    </row>
    <row r="536" spans="2:2" ht="13" x14ac:dyDescent="0.15">
      <c r="B536" s="6"/>
    </row>
    <row r="537" spans="2:2" ht="13" x14ac:dyDescent="0.15">
      <c r="B537" s="6"/>
    </row>
    <row r="538" spans="2:2" ht="13" x14ac:dyDescent="0.15">
      <c r="B538" s="6"/>
    </row>
    <row r="539" spans="2:2" ht="13" x14ac:dyDescent="0.15">
      <c r="B539" s="6"/>
    </row>
    <row r="540" spans="2:2" ht="13" x14ac:dyDescent="0.15">
      <c r="B540" s="6"/>
    </row>
    <row r="541" spans="2:2" ht="13" x14ac:dyDescent="0.15">
      <c r="B541" s="6"/>
    </row>
    <row r="542" spans="2:2" ht="13" x14ac:dyDescent="0.15">
      <c r="B542" s="6"/>
    </row>
    <row r="543" spans="2:2" ht="13" x14ac:dyDescent="0.15">
      <c r="B543" s="6"/>
    </row>
    <row r="544" spans="2:2" ht="13" x14ac:dyDescent="0.15">
      <c r="B544" s="6"/>
    </row>
    <row r="545" spans="2:2" ht="13" x14ac:dyDescent="0.15">
      <c r="B545" s="6"/>
    </row>
    <row r="546" spans="2:2" ht="13" x14ac:dyDescent="0.15">
      <c r="B546" s="6"/>
    </row>
    <row r="547" spans="2:2" ht="13" x14ac:dyDescent="0.15">
      <c r="B547" s="6"/>
    </row>
    <row r="548" spans="2:2" ht="13" x14ac:dyDescent="0.15">
      <c r="B548" s="6"/>
    </row>
    <row r="549" spans="2:2" ht="13" x14ac:dyDescent="0.15">
      <c r="B549" s="6"/>
    </row>
    <row r="550" spans="2:2" ht="13" x14ac:dyDescent="0.15">
      <c r="B550" s="6"/>
    </row>
    <row r="551" spans="2:2" ht="13" x14ac:dyDescent="0.15">
      <c r="B551" s="6"/>
    </row>
    <row r="552" spans="2:2" ht="13" x14ac:dyDescent="0.15">
      <c r="B552" s="6"/>
    </row>
    <row r="553" spans="2:2" ht="13" x14ac:dyDescent="0.15">
      <c r="B553" s="6"/>
    </row>
    <row r="554" spans="2:2" ht="13" x14ac:dyDescent="0.15">
      <c r="B554" s="6"/>
    </row>
    <row r="555" spans="2:2" ht="13" x14ac:dyDescent="0.15">
      <c r="B555" s="6"/>
    </row>
    <row r="556" spans="2:2" ht="13" x14ac:dyDescent="0.15">
      <c r="B556" s="6"/>
    </row>
    <row r="557" spans="2:2" ht="13" x14ac:dyDescent="0.15">
      <c r="B557" s="6"/>
    </row>
    <row r="558" spans="2:2" ht="13" x14ac:dyDescent="0.15">
      <c r="B558" s="6"/>
    </row>
    <row r="559" spans="2:2" ht="13" x14ac:dyDescent="0.15">
      <c r="B559" s="6"/>
    </row>
    <row r="560" spans="2:2" ht="13" x14ac:dyDescent="0.15">
      <c r="B560" s="6"/>
    </row>
    <row r="561" spans="2:2" ht="13" x14ac:dyDescent="0.15">
      <c r="B561" s="6"/>
    </row>
    <row r="562" spans="2:2" ht="13" x14ac:dyDescent="0.15">
      <c r="B562" s="6"/>
    </row>
    <row r="563" spans="2:2" ht="13" x14ac:dyDescent="0.15">
      <c r="B563" s="6"/>
    </row>
    <row r="564" spans="2:2" ht="13" x14ac:dyDescent="0.15">
      <c r="B564" s="6"/>
    </row>
    <row r="565" spans="2:2" ht="13" x14ac:dyDescent="0.15">
      <c r="B565" s="6"/>
    </row>
    <row r="566" spans="2:2" ht="13" x14ac:dyDescent="0.15">
      <c r="B566" s="6"/>
    </row>
    <row r="567" spans="2:2" ht="13" x14ac:dyDescent="0.15">
      <c r="B567" s="6"/>
    </row>
    <row r="568" spans="2:2" ht="13" x14ac:dyDescent="0.15">
      <c r="B568" s="6"/>
    </row>
    <row r="569" spans="2:2" ht="13" x14ac:dyDescent="0.15">
      <c r="B569" s="6"/>
    </row>
    <row r="570" spans="2:2" ht="13" x14ac:dyDescent="0.15">
      <c r="B570" s="6"/>
    </row>
    <row r="571" spans="2:2" ht="13" x14ac:dyDescent="0.15">
      <c r="B571" s="6"/>
    </row>
    <row r="572" spans="2:2" ht="13" x14ac:dyDescent="0.15">
      <c r="B572" s="6"/>
    </row>
    <row r="573" spans="2:2" ht="13" x14ac:dyDescent="0.15">
      <c r="B573" s="6"/>
    </row>
    <row r="574" spans="2:2" ht="13" x14ac:dyDescent="0.15">
      <c r="B574" s="6"/>
    </row>
    <row r="575" spans="2:2" ht="13" x14ac:dyDescent="0.15">
      <c r="B575" s="6"/>
    </row>
    <row r="576" spans="2:2" ht="13" x14ac:dyDescent="0.15">
      <c r="B576" s="6"/>
    </row>
    <row r="577" spans="2:2" ht="13" x14ac:dyDescent="0.15">
      <c r="B577" s="6"/>
    </row>
    <row r="578" spans="2:2" ht="13" x14ac:dyDescent="0.15">
      <c r="B578" s="6"/>
    </row>
    <row r="579" spans="2:2" ht="13" x14ac:dyDescent="0.15">
      <c r="B579" s="6"/>
    </row>
    <row r="580" spans="2:2" ht="13" x14ac:dyDescent="0.15">
      <c r="B580" s="6"/>
    </row>
    <row r="581" spans="2:2" ht="13" x14ac:dyDescent="0.15">
      <c r="B581" s="6"/>
    </row>
    <row r="582" spans="2:2" ht="13" x14ac:dyDescent="0.15">
      <c r="B582" s="6"/>
    </row>
    <row r="583" spans="2:2" ht="13" x14ac:dyDescent="0.15">
      <c r="B583" s="6"/>
    </row>
    <row r="584" spans="2:2" ht="13" x14ac:dyDescent="0.15">
      <c r="B584" s="6"/>
    </row>
    <row r="585" spans="2:2" ht="13" x14ac:dyDescent="0.15">
      <c r="B585" s="6"/>
    </row>
    <row r="586" spans="2:2" ht="13" x14ac:dyDescent="0.15">
      <c r="B586" s="6"/>
    </row>
    <row r="587" spans="2:2" ht="13" x14ac:dyDescent="0.15">
      <c r="B587" s="6"/>
    </row>
    <row r="588" spans="2:2" ht="13" x14ac:dyDescent="0.15">
      <c r="B588" s="6"/>
    </row>
    <row r="589" spans="2:2" ht="13" x14ac:dyDescent="0.15">
      <c r="B589" s="6"/>
    </row>
    <row r="590" spans="2:2" ht="13" x14ac:dyDescent="0.15">
      <c r="B590" s="6"/>
    </row>
    <row r="591" spans="2:2" ht="13" x14ac:dyDescent="0.15">
      <c r="B591" s="6"/>
    </row>
    <row r="592" spans="2:2" ht="13" x14ac:dyDescent="0.15">
      <c r="B592" s="6"/>
    </row>
    <row r="593" spans="2:2" ht="13" x14ac:dyDescent="0.15">
      <c r="B593" s="6"/>
    </row>
    <row r="594" spans="2:2" ht="13" x14ac:dyDescent="0.15">
      <c r="B594" s="6"/>
    </row>
    <row r="595" spans="2:2" ht="13" x14ac:dyDescent="0.15">
      <c r="B595" s="6"/>
    </row>
    <row r="596" spans="2:2" ht="13" x14ac:dyDescent="0.15">
      <c r="B596" s="6"/>
    </row>
    <row r="597" spans="2:2" ht="13" x14ac:dyDescent="0.15">
      <c r="B597" s="6"/>
    </row>
    <row r="598" spans="2:2" ht="13" x14ac:dyDescent="0.15">
      <c r="B598" s="6"/>
    </row>
    <row r="599" spans="2:2" ht="13" x14ac:dyDescent="0.15">
      <c r="B599" s="6"/>
    </row>
    <row r="600" spans="2:2" ht="13" x14ac:dyDescent="0.15">
      <c r="B600" s="6"/>
    </row>
    <row r="601" spans="2:2" ht="13" x14ac:dyDescent="0.15">
      <c r="B601" s="6"/>
    </row>
    <row r="602" spans="2:2" ht="13" x14ac:dyDescent="0.15">
      <c r="B602" s="6"/>
    </row>
    <row r="603" spans="2:2" ht="13" x14ac:dyDescent="0.15">
      <c r="B603" s="6"/>
    </row>
    <row r="604" spans="2:2" ht="13" x14ac:dyDescent="0.15">
      <c r="B604" s="6"/>
    </row>
    <row r="605" spans="2:2" ht="13" x14ac:dyDescent="0.15">
      <c r="B605" s="6"/>
    </row>
    <row r="606" spans="2:2" ht="13" x14ac:dyDescent="0.15">
      <c r="B606" s="6"/>
    </row>
    <row r="607" spans="2:2" ht="13" x14ac:dyDescent="0.15">
      <c r="B607" s="6"/>
    </row>
    <row r="608" spans="2:2" ht="13" x14ac:dyDescent="0.15">
      <c r="B608" s="6"/>
    </row>
    <row r="609" spans="2:2" ht="13" x14ac:dyDescent="0.15">
      <c r="B609" s="6"/>
    </row>
    <row r="610" spans="2:2" ht="13" x14ac:dyDescent="0.15">
      <c r="B610" s="6"/>
    </row>
    <row r="611" spans="2:2" ht="13" x14ac:dyDescent="0.15">
      <c r="B611" s="6"/>
    </row>
    <row r="612" spans="2:2" ht="13" x14ac:dyDescent="0.15">
      <c r="B612" s="6"/>
    </row>
    <row r="613" spans="2:2" ht="13" x14ac:dyDescent="0.15">
      <c r="B613" s="6"/>
    </row>
    <row r="614" spans="2:2" ht="13" x14ac:dyDescent="0.15">
      <c r="B614" s="6"/>
    </row>
    <row r="615" spans="2:2" ht="13" x14ac:dyDescent="0.15">
      <c r="B615" s="6"/>
    </row>
    <row r="616" spans="2:2" ht="13" x14ac:dyDescent="0.15">
      <c r="B616" s="6"/>
    </row>
    <row r="617" spans="2:2" ht="13" x14ac:dyDescent="0.15">
      <c r="B617" s="6"/>
    </row>
    <row r="618" spans="2:2" ht="13" x14ac:dyDescent="0.15">
      <c r="B618" s="6"/>
    </row>
    <row r="619" spans="2:2" ht="13" x14ac:dyDescent="0.15">
      <c r="B619" s="6"/>
    </row>
    <row r="620" spans="2:2" ht="13" x14ac:dyDescent="0.15">
      <c r="B620" s="6"/>
    </row>
    <row r="621" spans="2:2" ht="13" x14ac:dyDescent="0.15">
      <c r="B621" s="6"/>
    </row>
    <row r="622" spans="2:2" ht="13" x14ac:dyDescent="0.15">
      <c r="B622" s="6"/>
    </row>
    <row r="623" spans="2:2" ht="13" x14ac:dyDescent="0.15">
      <c r="B623" s="6"/>
    </row>
    <row r="624" spans="2:2" ht="13" x14ac:dyDescent="0.15">
      <c r="B624" s="6"/>
    </row>
    <row r="625" spans="2:2" ht="13" x14ac:dyDescent="0.15">
      <c r="B625" s="6"/>
    </row>
    <row r="626" spans="2:2" ht="13" x14ac:dyDescent="0.15">
      <c r="B626" s="6"/>
    </row>
    <row r="627" spans="2:2" ht="13" x14ac:dyDescent="0.15">
      <c r="B627" s="6"/>
    </row>
    <row r="628" spans="2:2" ht="13" x14ac:dyDescent="0.15">
      <c r="B628" s="6"/>
    </row>
    <row r="629" spans="2:2" ht="13" x14ac:dyDescent="0.15">
      <c r="B629" s="6"/>
    </row>
    <row r="630" spans="2:2" ht="13" x14ac:dyDescent="0.15">
      <c r="B630" s="6"/>
    </row>
    <row r="631" spans="2:2" ht="13" x14ac:dyDescent="0.15">
      <c r="B631" s="6"/>
    </row>
    <row r="632" spans="2:2" ht="13" x14ac:dyDescent="0.15">
      <c r="B632" s="6"/>
    </row>
    <row r="633" spans="2:2" ht="13" x14ac:dyDescent="0.15">
      <c r="B633" s="6"/>
    </row>
    <row r="634" spans="2:2" ht="13" x14ac:dyDescent="0.15">
      <c r="B634" s="6"/>
    </row>
    <row r="635" spans="2:2" ht="13" x14ac:dyDescent="0.15">
      <c r="B635" s="6"/>
    </row>
    <row r="636" spans="2:2" ht="13" x14ac:dyDescent="0.15">
      <c r="B636" s="6"/>
    </row>
    <row r="637" spans="2:2" ht="13" x14ac:dyDescent="0.15">
      <c r="B637" s="6"/>
    </row>
    <row r="638" spans="2:2" ht="13" x14ac:dyDescent="0.15">
      <c r="B638" s="6"/>
    </row>
    <row r="639" spans="2:2" ht="13" x14ac:dyDescent="0.15">
      <c r="B639" s="6"/>
    </row>
    <row r="640" spans="2:2" ht="13" x14ac:dyDescent="0.15">
      <c r="B640" s="6"/>
    </row>
    <row r="641" spans="2:2" ht="13" x14ac:dyDescent="0.15">
      <c r="B641" s="6"/>
    </row>
    <row r="642" spans="2:2" ht="13" x14ac:dyDescent="0.15">
      <c r="B642" s="6"/>
    </row>
    <row r="643" spans="2:2" ht="13" x14ac:dyDescent="0.15">
      <c r="B643" s="6"/>
    </row>
    <row r="644" spans="2:2" ht="13" x14ac:dyDescent="0.15">
      <c r="B644" s="6"/>
    </row>
    <row r="645" spans="2:2" ht="13" x14ac:dyDescent="0.15">
      <c r="B645" s="6"/>
    </row>
    <row r="646" spans="2:2" ht="13" x14ac:dyDescent="0.15">
      <c r="B646" s="6"/>
    </row>
    <row r="647" spans="2:2" ht="13" x14ac:dyDescent="0.15">
      <c r="B647" s="6"/>
    </row>
    <row r="648" spans="2:2" ht="13" x14ac:dyDescent="0.15">
      <c r="B648" s="6"/>
    </row>
    <row r="649" spans="2:2" ht="13" x14ac:dyDescent="0.15">
      <c r="B649" s="6"/>
    </row>
    <row r="650" spans="2:2" ht="13" x14ac:dyDescent="0.15">
      <c r="B650" s="6"/>
    </row>
    <row r="651" spans="2:2" ht="13" x14ac:dyDescent="0.15">
      <c r="B651" s="6"/>
    </row>
    <row r="652" spans="2:2" ht="13" x14ac:dyDescent="0.15">
      <c r="B652" s="6"/>
    </row>
    <row r="653" spans="2:2" ht="13" x14ac:dyDescent="0.15">
      <c r="B653" s="6"/>
    </row>
    <row r="654" spans="2:2" ht="13" x14ac:dyDescent="0.15">
      <c r="B654" s="6"/>
    </row>
    <row r="655" spans="2:2" ht="13" x14ac:dyDescent="0.15">
      <c r="B655" s="6"/>
    </row>
    <row r="656" spans="2:2" ht="13" x14ac:dyDescent="0.15">
      <c r="B656" s="6"/>
    </row>
    <row r="657" spans="2:2" ht="13" x14ac:dyDescent="0.15">
      <c r="B657" s="6"/>
    </row>
    <row r="658" spans="2:2" ht="13" x14ac:dyDescent="0.15">
      <c r="B658" s="6"/>
    </row>
    <row r="659" spans="2:2" ht="13" x14ac:dyDescent="0.15">
      <c r="B659" s="6"/>
    </row>
    <row r="660" spans="2:2" ht="13" x14ac:dyDescent="0.15">
      <c r="B660" s="6"/>
    </row>
    <row r="661" spans="2:2" ht="13" x14ac:dyDescent="0.15">
      <c r="B661" s="6"/>
    </row>
    <row r="662" spans="2:2" ht="13" x14ac:dyDescent="0.15">
      <c r="B662" s="6"/>
    </row>
    <row r="663" spans="2:2" ht="13" x14ac:dyDescent="0.15">
      <c r="B663" s="6"/>
    </row>
    <row r="664" spans="2:2" ht="13" x14ac:dyDescent="0.15">
      <c r="B664" s="6"/>
    </row>
    <row r="665" spans="2:2" ht="13" x14ac:dyDescent="0.15">
      <c r="B665" s="6"/>
    </row>
    <row r="666" spans="2:2" ht="13" x14ac:dyDescent="0.15">
      <c r="B666" s="6"/>
    </row>
    <row r="667" spans="2:2" ht="13" x14ac:dyDescent="0.15">
      <c r="B667" s="6"/>
    </row>
    <row r="668" spans="2:2" ht="13" x14ac:dyDescent="0.15">
      <c r="B668" s="6"/>
    </row>
    <row r="669" spans="2:2" ht="13" x14ac:dyDescent="0.15">
      <c r="B669" s="6"/>
    </row>
    <row r="670" spans="2:2" ht="13" x14ac:dyDescent="0.15">
      <c r="B670" s="6"/>
    </row>
    <row r="671" spans="2:2" ht="13" x14ac:dyDescent="0.15">
      <c r="B671" s="6"/>
    </row>
    <row r="672" spans="2:2" ht="13" x14ac:dyDescent="0.15">
      <c r="B672" s="6"/>
    </row>
    <row r="673" spans="2:2" ht="13" x14ac:dyDescent="0.15">
      <c r="B673" s="6"/>
    </row>
    <row r="674" spans="2:2" ht="13" x14ac:dyDescent="0.15">
      <c r="B674" s="6"/>
    </row>
    <row r="675" spans="2:2" ht="13" x14ac:dyDescent="0.15">
      <c r="B675" s="6"/>
    </row>
    <row r="676" spans="2:2" ht="13" x14ac:dyDescent="0.15">
      <c r="B676" s="6"/>
    </row>
    <row r="677" spans="2:2" ht="13" x14ac:dyDescent="0.15">
      <c r="B677" s="6"/>
    </row>
    <row r="678" spans="2:2" ht="13" x14ac:dyDescent="0.15">
      <c r="B678" s="6"/>
    </row>
    <row r="679" spans="2:2" ht="13" x14ac:dyDescent="0.15">
      <c r="B679" s="6"/>
    </row>
    <row r="680" spans="2:2" ht="13" x14ac:dyDescent="0.15">
      <c r="B680" s="6"/>
    </row>
    <row r="681" spans="2:2" ht="13" x14ac:dyDescent="0.15">
      <c r="B681" s="6"/>
    </row>
    <row r="682" spans="2:2" ht="13" x14ac:dyDescent="0.15">
      <c r="B682" s="6"/>
    </row>
    <row r="683" spans="2:2" ht="13" x14ac:dyDescent="0.15">
      <c r="B683" s="6"/>
    </row>
    <row r="684" spans="2:2" ht="13" x14ac:dyDescent="0.15">
      <c r="B684" s="6"/>
    </row>
    <row r="685" spans="2:2" ht="13" x14ac:dyDescent="0.15">
      <c r="B685" s="6"/>
    </row>
    <row r="686" spans="2:2" ht="13" x14ac:dyDescent="0.15">
      <c r="B686" s="6"/>
    </row>
    <row r="687" spans="2:2" ht="13" x14ac:dyDescent="0.15">
      <c r="B687" s="6"/>
    </row>
    <row r="688" spans="2:2" ht="13" x14ac:dyDescent="0.15">
      <c r="B688" s="6"/>
    </row>
    <row r="689" spans="2:2" ht="13" x14ac:dyDescent="0.15">
      <c r="B689" s="6"/>
    </row>
    <row r="690" spans="2:2" ht="13" x14ac:dyDescent="0.15">
      <c r="B690" s="6"/>
    </row>
    <row r="691" spans="2:2" ht="13" x14ac:dyDescent="0.15">
      <c r="B691" s="6"/>
    </row>
    <row r="692" spans="2:2" ht="13" x14ac:dyDescent="0.15">
      <c r="B692" s="6"/>
    </row>
    <row r="693" spans="2:2" ht="13" x14ac:dyDescent="0.15">
      <c r="B693" s="6"/>
    </row>
    <row r="694" spans="2:2" ht="13" x14ac:dyDescent="0.15">
      <c r="B694" s="6"/>
    </row>
    <row r="695" spans="2:2" ht="13" x14ac:dyDescent="0.15">
      <c r="B695" s="6"/>
    </row>
    <row r="696" spans="2:2" ht="13" x14ac:dyDescent="0.15">
      <c r="B696" s="6"/>
    </row>
    <row r="697" spans="2:2" ht="13" x14ac:dyDescent="0.15">
      <c r="B697" s="6"/>
    </row>
    <row r="698" spans="2:2" ht="13" x14ac:dyDescent="0.15">
      <c r="B698" s="6"/>
    </row>
    <row r="699" spans="2:2" ht="13" x14ac:dyDescent="0.15">
      <c r="B699" s="6"/>
    </row>
    <row r="700" spans="2:2" ht="13" x14ac:dyDescent="0.15">
      <c r="B700" s="6"/>
    </row>
    <row r="701" spans="2:2" ht="13" x14ac:dyDescent="0.15">
      <c r="B701" s="6"/>
    </row>
    <row r="702" spans="2:2" ht="13" x14ac:dyDescent="0.15">
      <c r="B702" s="6"/>
    </row>
    <row r="703" spans="2:2" ht="13" x14ac:dyDescent="0.15">
      <c r="B703" s="6"/>
    </row>
    <row r="704" spans="2:2" ht="13" x14ac:dyDescent="0.15">
      <c r="B704" s="6"/>
    </row>
    <row r="705" spans="2:2" ht="13" x14ac:dyDescent="0.15">
      <c r="B705" s="6"/>
    </row>
    <row r="706" spans="2:2" ht="13" x14ac:dyDescent="0.15">
      <c r="B706" s="6"/>
    </row>
    <row r="707" spans="2:2" ht="13" x14ac:dyDescent="0.15">
      <c r="B707" s="6"/>
    </row>
    <row r="708" spans="2:2" ht="13" x14ac:dyDescent="0.15">
      <c r="B708" s="6"/>
    </row>
    <row r="709" spans="2:2" ht="13" x14ac:dyDescent="0.15">
      <c r="B709" s="6"/>
    </row>
    <row r="710" spans="2:2" ht="13" x14ac:dyDescent="0.15">
      <c r="B710" s="6"/>
    </row>
    <row r="711" spans="2:2" ht="13" x14ac:dyDescent="0.15">
      <c r="B711" s="6"/>
    </row>
    <row r="712" spans="2:2" ht="13" x14ac:dyDescent="0.15">
      <c r="B712" s="6"/>
    </row>
    <row r="713" spans="2:2" ht="13" x14ac:dyDescent="0.15">
      <c r="B713" s="6"/>
    </row>
    <row r="714" spans="2:2" ht="13" x14ac:dyDescent="0.15">
      <c r="B714" s="6"/>
    </row>
    <row r="715" spans="2:2" ht="13" x14ac:dyDescent="0.15">
      <c r="B715" s="6"/>
    </row>
    <row r="716" spans="2:2" ht="13" x14ac:dyDescent="0.15">
      <c r="B716" s="6"/>
    </row>
    <row r="717" spans="2:2" ht="13" x14ac:dyDescent="0.15">
      <c r="B717" s="6"/>
    </row>
    <row r="718" spans="2:2" ht="13" x14ac:dyDescent="0.15">
      <c r="B718" s="6"/>
    </row>
    <row r="719" spans="2:2" ht="13" x14ac:dyDescent="0.15">
      <c r="B719" s="6"/>
    </row>
    <row r="720" spans="2:2" ht="13" x14ac:dyDescent="0.15">
      <c r="B720" s="6"/>
    </row>
    <row r="721" spans="2:2" ht="13" x14ac:dyDescent="0.15">
      <c r="B721" s="6"/>
    </row>
    <row r="722" spans="2:2" ht="13" x14ac:dyDescent="0.15">
      <c r="B722" s="6"/>
    </row>
    <row r="723" spans="2:2" ht="13" x14ac:dyDescent="0.15">
      <c r="B723" s="6"/>
    </row>
    <row r="724" spans="2:2" ht="13" x14ac:dyDescent="0.15">
      <c r="B724" s="6"/>
    </row>
    <row r="725" spans="2:2" ht="13" x14ac:dyDescent="0.15">
      <c r="B725" s="6"/>
    </row>
    <row r="726" spans="2:2" ht="13" x14ac:dyDescent="0.15">
      <c r="B726" s="6"/>
    </row>
    <row r="727" spans="2:2" ht="13" x14ac:dyDescent="0.15">
      <c r="B727" s="6"/>
    </row>
    <row r="728" spans="2:2" ht="13" x14ac:dyDescent="0.15">
      <c r="B728" s="6"/>
    </row>
    <row r="729" spans="2:2" ht="13" x14ac:dyDescent="0.15">
      <c r="B729" s="6"/>
    </row>
    <row r="730" spans="2:2" ht="13" x14ac:dyDescent="0.15">
      <c r="B730" s="6"/>
    </row>
    <row r="731" spans="2:2" ht="13" x14ac:dyDescent="0.15">
      <c r="B731" s="6"/>
    </row>
    <row r="732" spans="2:2" ht="13" x14ac:dyDescent="0.15">
      <c r="B732" s="6"/>
    </row>
    <row r="733" spans="2:2" ht="13" x14ac:dyDescent="0.15">
      <c r="B733" s="6"/>
    </row>
    <row r="734" spans="2:2" ht="13" x14ac:dyDescent="0.15">
      <c r="B734" s="6"/>
    </row>
    <row r="735" spans="2:2" ht="13" x14ac:dyDescent="0.15">
      <c r="B735" s="6"/>
    </row>
    <row r="736" spans="2:2" ht="13" x14ac:dyDescent="0.15">
      <c r="B736" s="6"/>
    </row>
    <row r="737" spans="2:2" ht="13" x14ac:dyDescent="0.15">
      <c r="B737" s="6"/>
    </row>
    <row r="738" spans="2:2" ht="13" x14ac:dyDescent="0.15">
      <c r="B738" s="6"/>
    </row>
    <row r="739" spans="2:2" ht="13" x14ac:dyDescent="0.15">
      <c r="B739" s="6"/>
    </row>
    <row r="740" spans="2:2" ht="13" x14ac:dyDescent="0.15">
      <c r="B740" s="6"/>
    </row>
    <row r="741" spans="2:2" ht="13" x14ac:dyDescent="0.15">
      <c r="B741" s="6"/>
    </row>
    <row r="742" spans="2:2" ht="13" x14ac:dyDescent="0.15">
      <c r="B742" s="6"/>
    </row>
    <row r="743" spans="2:2" ht="13" x14ac:dyDescent="0.15">
      <c r="B743" s="6"/>
    </row>
    <row r="744" spans="2:2" ht="13" x14ac:dyDescent="0.15">
      <c r="B744" s="6"/>
    </row>
    <row r="745" spans="2:2" ht="13" x14ac:dyDescent="0.15">
      <c r="B745" s="6"/>
    </row>
    <row r="746" spans="2:2" ht="13" x14ac:dyDescent="0.15">
      <c r="B746" s="6"/>
    </row>
    <row r="747" spans="2:2" ht="13" x14ac:dyDescent="0.15">
      <c r="B747" s="6"/>
    </row>
    <row r="748" spans="2:2" ht="13" x14ac:dyDescent="0.15">
      <c r="B748" s="6"/>
    </row>
    <row r="749" spans="2:2" ht="13" x14ac:dyDescent="0.15">
      <c r="B749" s="6"/>
    </row>
    <row r="750" spans="2:2" ht="13" x14ac:dyDescent="0.15">
      <c r="B750" s="6"/>
    </row>
    <row r="751" spans="2:2" ht="13" x14ac:dyDescent="0.15">
      <c r="B751" s="6"/>
    </row>
    <row r="752" spans="2:2" ht="13" x14ac:dyDescent="0.15">
      <c r="B752" s="6"/>
    </row>
    <row r="753" spans="2:2" ht="13" x14ac:dyDescent="0.15">
      <c r="B753" s="6"/>
    </row>
    <row r="754" spans="2:2" ht="13" x14ac:dyDescent="0.15">
      <c r="B754" s="6"/>
    </row>
    <row r="755" spans="2:2" ht="13" x14ac:dyDescent="0.15">
      <c r="B755" s="6"/>
    </row>
    <row r="756" spans="2:2" ht="13" x14ac:dyDescent="0.15">
      <c r="B756" s="6"/>
    </row>
    <row r="757" spans="2:2" ht="13" x14ac:dyDescent="0.15">
      <c r="B757" s="6"/>
    </row>
    <row r="758" spans="2:2" ht="13" x14ac:dyDescent="0.15">
      <c r="B758" s="6"/>
    </row>
    <row r="759" spans="2:2" ht="13" x14ac:dyDescent="0.15">
      <c r="B759" s="6"/>
    </row>
    <row r="760" spans="2:2" ht="13" x14ac:dyDescent="0.15">
      <c r="B760" s="6"/>
    </row>
    <row r="761" spans="2:2" ht="13" x14ac:dyDescent="0.15">
      <c r="B761" s="6"/>
    </row>
    <row r="762" spans="2:2" ht="13" x14ac:dyDescent="0.15">
      <c r="B762" s="6"/>
    </row>
    <row r="763" spans="2:2" ht="13" x14ac:dyDescent="0.15">
      <c r="B763" s="6"/>
    </row>
    <row r="764" spans="2:2" ht="13" x14ac:dyDescent="0.15">
      <c r="B764" s="6"/>
    </row>
    <row r="765" spans="2:2" ht="13" x14ac:dyDescent="0.15">
      <c r="B765" s="6"/>
    </row>
    <row r="766" spans="2:2" ht="13" x14ac:dyDescent="0.15">
      <c r="B766" s="6"/>
    </row>
    <row r="767" spans="2:2" ht="13" x14ac:dyDescent="0.15">
      <c r="B767" s="6"/>
    </row>
    <row r="768" spans="2:2" ht="13" x14ac:dyDescent="0.15">
      <c r="B768" s="6"/>
    </row>
    <row r="769" spans="2:2" ht="13" x14ac:dyDescent="0.15">
      <c r="B769" s="6"/>
    </row>
    <row r="770" spans="2:2" ht="13" x14ac:dyDescent="0.15">
      <c r="B770" s="6"/>
    </row>
    <row r="771" spans="2:2" ht="13" x14ac:dyDescent="0.15">
      <c r="B771" s="6"/>
    </row>
    <row r="772" spans="2:2" ht="13" x14ac:dyDescent="0.15">
      <c r="B772" s="6"/>
    </row>
    <row r="773" spans="2:2" ht="13" x14ac:dyDescent="0.15">
      <c r="B773" s="6"/>
    </row>
    <row r="774" spans="2:2" ht="13" x14ac:dyDescent="0.15">
      <c r="B774" s="6"/>
    </row>
    <row r="775" spans="2:2" ht="13" x14ac:dyDescent="0.15">
      <c r="B775" s="6"/>
    </row>
    <row r="776" spans="2:2" ht="13" x14ac:dyDescent="0.15">
      <c r="B776" s="6"/>
    </row>
    <row r="777" spans="2:2" ht="13" x14ac:dyDescent="0.15">
      <c r="B777" s="6"/>
    </row>
    <row r="778" spans="2:2" ht="13" x14ac:dyDescent="0.15">
      <c r="B778" s="6"/>
    </row>
    <row r="779" spans="2:2" ht="13" x14ac:dyDescent="0.15">
      <c r="B779" s="6"/>
    </row>
    <row r="780" spans="2:2" ht="13" x14ac:dyDescent="0.15">
      <c r="B780" s="6"/>
    </row>
    <row r="781" spans="2:2" ht="13" x14ac:dyDescent="0.15">
      <c r="B781" s="6"/>
    </row>
    <row r="782" spans="2:2" ht="13" x14ac:dyDescent="0.15">
      <c r="B782" s="6"/>
    </row>
    <row r="783" spans="2:2" ht="13" x14ac:dyDescent="0.15">
      <c r="B783" s="6"/>
    </row>
    <row r="784" spans="2:2" ht="13" x14ac:dyDescent="0.15">
      <c r="B784" s="6"/>
    </row>
    <row r="785" spans="2:2" ht="13" x14ac:dyDescent="0.15">
      <c r="B785" s="6"/>
    </row>
    <row r="786" spans="2:2" ht="13" x14ac:dyDescent="0.15">
      <c r="B786" s="6"/>
    </row>
    <row r="787" spans="2:2" ht="13" x14ac:dyDescent="0.15">
      <c r="B787" s="6"/>
    </row>
    <row r="788" spans="2:2" ht="13" x14ac:dyDescent="0.15">
      <c r="B788" s="6"/>
    </row>
    <row r="789" spans="2:2" ht="13" x14ac:dyDescent="0.15">
      <c r="B789" s="6"/>
    </row>
    <row r="790" spans="2:2" ht="13" x14ac:dyDescent="0.15">
      <c r="B790" s="6"/>
    </row>
    <row r="791" spans="2:2" ht="13" x14ac:dyDescent="0.15">
      <c r="B791" s="6"/>
    </row>
    <row r="792" spans="2:2" ht="13" x14ac:dyDescent="0.15">
      <c r="B792" s="6"/>
    </row>
    <row r="793" spans="2:2" ht="13" x14ac:dyDescent="0.15">
      <c r="B793" s="6"/>
    </row>
    <row r="794" spans="2:2" ht="13" x14ac:dyDescent="0.15">
      <c r="B794" s="6"/>
    </row>
    <row r="795" spans="2:2" ht="13" x14ac:dyDescent="0.15">
      <c r="B795" s="6"/>
    </row>
    <row r="796" spans="2:2" ht="13" x14ac:dyDescent="0.15">
      <c r="B796" s="6"/>
    </row>
    <row r="797" spans="2:2" ht="13" x14ac:dyDescent="0.15">
      <c r="B797" s="6"/>
    </row>
    <row r="798" spans="2:2" ht="13" x14ac:dyDescent="0.15">
      <c r="B798" s="6"/>
    </row>
    <row r="799" spans="2:2" ht="13" x14ac:dyDescent="0.15">
      <c r="B799" s="6"/>
    </row>
    <row r="800" spans="2:2" ht="13" x14ac:dyDescent="0.15">
      <c r="B800" s="6"/>
    </row>
    <row r="801" spans="2:2" ht="13" x14ac:dyDescent="0.15">
      <c r="B801" s="6"/>
    </row>
    <row r="802" spans="2:2" ht="13" x14ac:dyDescent="0.15">
      <c r="B802" s="6"/>
    </row>
    <row r="803" spans="2:2" ht="13" x14ac:dyDescent="0.15">
      <c r="B803" s="6"/>
    </row>
    <row r="804" spans="2:2" ht="13" x14ac:dyDescent="0.15">
      <c r="B804" s="6"/>
    </row>
    <row r="805" spans="2:2" ht="13" x14ac:dyDescent="0.15">
      <c r="B805" s="6"/>
    </row>
    <row r="806" spans="2:2" ht="13" x14ac:dyDescent="0.15">
      <c r="B806" s="6"/>
    </row>
    <row r="807" spans="2:2" ht="13" x14ac:dyDescent="0.15">
      <c r="B807" s="6"/>
    </row>
    <row r="808" spans="2:2" ht="13" x14ac:dyDescent="0.15">
      <c r="B808" s="6"/>
    </row>
    <row r="809" spans="2:2" ht="13" x14ac:dyDescent="0.15">
      <c r="B809" s="6"/>
    </row>
    <row r="810" spans="2:2" ht="13" x14ac:dyDescent="0.15">
      <c r="B810" s="6"/>
    </row>
    <row r="811" spans="2:2" ht="13" x14ac:dyDescent="0.15">
      <c r="B811" s="6"/>
    </row>
    <row r="812" spans="2:2" ht="13" x14ac:dyDescent="0.15">
      <c r="B812" s="6"/>
    </row>
    <row r="813" spans="2:2" ht="13" x14ac:dyDescent="0.15">
      <c r="B813" s="6"/>
    </row>
    <row r="814" spans="2:2" ht="13" x14ac:dyDescent="0.15">
      <c r="B814" s="6"/>
    </row>
    <row r="815" spans="2:2" ht="13" x14ac:dyDescent="0.15">
      <c r="B815" s="6"/>
    </row>
    <row r="816" spans="2:2" ht="13" x14ac:dyDescent="0.15">
      <c r="B816" s="6"/>
    </row>
    <row r="817" spans="2:2" ht="13" x14ac:dyDescent="0.15">
      <c r="B817" s="6"/>
    </row>
    <row r="818" spans="2:2" ht="13" x14ac:dyDescent="0.15">
      <c r="B818" s="6"/>
    </row>
    <row r="819" spans="2:2" ht="13" x14ac:dyDescent="0.15">
      <c r="B819" s="6"/>
    </row>
    <row r="820" spans="2:2" ht="13" x14ac:dyDescent="0.15">
      <c r="B820" s="6"/>
    </row>
    <row r="821" spans="2:2" ht="13" x14ac:dyDescent="0.15">
      <c r="B821" s="6"/>
    </row>
    <row r="822" spans="2:2" ht="13" x14ac:dyDescent="0.15">
      <c r="B822" s="6"/>
    </row>
    <row r="823" spans="2:2" ht="13" x14ac:dyDescent="0.15">
      <c r="B823" s="6"/>
    </row>
    <row r="824" spans="2:2" ht="13" x14ac:dyDescent="0.15">
      <c r="B824" s="6"/>
    </row>
    <row r="825" spans="2:2" ht="13" x14ac:dyDescent="0.15">
      <c r="B825" s="6"/>
    </row>
    <row r="826" spans="2:2" ht="13" x14ac:dyDescent="0.15">
      <c r="B826" s="6"/>
    </row>
    <row r="827" spans="2:2" ht="13" x14ac:dyDescent="0.15">
      <c r="B827" s="6"/>
    </row>
    <row r="828" spans="2:2" ht="13" x14ac:dyDescent="0.15">
      <c r="B828" s="6"/>
    </row>
    <row r="829" spans="2:2" ht="13" x14ac:dyDescent="0.15">
      <c r="B829" s="6"/>
    </row>
    <row r="830" spans="2:2" ht="13" x14ac:dyDescent="0.15">
      <c r="B830" s="6"/>
    </row>
    <row r="831" spans="2:2" ht="13" x14ac:dyDescent="0.15">
      <c r="B831" s="6"/>
    </row>
    <row r="832" spans="2:2" ht="13" x14ac:dyDescent="0.15">
      <c r="B832" s="6"/>
    </row>
    <row r="833" spans="2:2" ht="13" x14ac:dyDescent="0.15">
      <c r="B833" s="6"/>
    </row>
    <row r="834" spans="2:2" ht="13" x14ac:dyDescent="0.15">
      <c r="B834" s="6"/>
    </row>
    <row r="835" spans="2:2" ht="13" x14ac:dyDescent="0.15">
      <c r="B835" s="6"/>
    </row>
    <row r="836" spans="2:2" ht="13" x14ac:dyDescent="0.15">
      <c r="B836" s="6"/>
    </row>
    <row r="837" spans="2:2" ht="13" x14ac:dyDescent="0.15">
      <c r="B837" s="6"/>
    </row>
    <row r="838" spans="2:2" ht="13" x14ac:dyDescent="0.15">
      <c r="B838" s="6"/>
    </row>
    <row r="839" spans="2:2" ht="13" x14ac:dyDescent="0.15">
      <c r="B839" s="6"/>
    </row>
    <row r="840" spans="2:2" ht="13" x14ac:dyDescent="0.15">
      <c r="B840" s="6"/>
    </row>
    <row r="841" spans="2:2" ht="13" x14ac:dyDescent="0.15">
      <c r="B841" s="6"/>
    </row>
    <row r="842" spans="2:2" ht="13" x14ac:dyDescent="0.15">
      <c r="B842" s="6"/>
    </row>
    <row r="843" spans="2:2" ht="13" x14ac:dyDescent="0.15">
      <c r="B843" s="6"/>
    </row>
    <row r="844" spans="2:2" ht="13" x14ac:dyDescent="0.15">
      <c r="B844" s="6"/>
    </row>
    <row r="845" spans="2:2" ht="13" x14ac:dyDescent="0.15">
      <c r="B845" s="6"/>
    </row>
    <row r="846" spans="2:2" ht="13" x14ac:dyDescent="0.15">
      <c r="B846" s="6"/>
    </row>
    <row r="847" spans="2:2" ht="13" x14ac:dyDescent="0.15">
      <c r="B847" s="6"/>
    </row>
    <row r="848" spans="2:2" ht="13" x14ac:dyDescent="0.15">
      <c r="B848" s="6"/>
    </row>
    <row r="849" spans="2:2" ht="13" x14ac:dyDescent="0.15">
      <c r="B849" s="6"/>
    </row>
    <row r="850" spans="2:2" ht="13" x14ac:dyDescent="0.15">
      <c r="B850" s="6"/>
    </row>
    <row r="851" spans="2:2" ht="13" x14ac:dyDescent="0.15">
      <c r="B851" s="6"/>
    </row>
    <row r="852" spans="2:2" ht="13" x14ac:dyDescent="0.15">
      <c r="B852" s="6"/>
    </row>
    <row r="853" spans="2:2" ht="13" x14ac:dyDescent="0.15">
      <c r="B853" s="6"/>
    </row>
    <row r="854" spans="2:2" ht="13" x14ac:dyDescent="0.15">
      <c r="B854" s="6"/>
    </row>
    <row r="855" spans="2:2" ht="13" x14ac:dyDescent="0.15">
      <c r="B855" s="6"/>
    </row>
    <row r="856" spans="2:2" ht="13" x14ac:dyDescent="0.15">
      <c r="B856" s="6"/>
    </row>
    <row r="857" spans="2:2" ht="13" x14ac:dyDescent="0.15">
      <c r="B857" s="6"/>
    </row>
    <row r="858" spans="2:2" ht="13" x14ac:dyDescent="0.15">
      <c r="B858" s="6"/>
    </row>
    <row r="859" spans="2:2" ht="13" x14ac:dyDescent="0.15">
      <c r="B859" s="6"/>
    </row>
    <row r="860" spans="2:2" ht="13" x14ac:dyDescent="0.15">
      <c r="B860" s="6"/>
    </row>
    <row r="861" spans="2:2" ht="13" x14ac:dyDescent="0.15">
      <c r="B861" s="6"/>
    </row>
    <row r="862" spans="2:2" ht="13" x14ac:dyDescent="0.15">
      <c r="B862" s="6"/>
    </row>
    <row r="863" spans="2:2" ht="13" x14ac:dyDescent="0.15">
      <c r="B863" s="6"/>
    </row>
    <row r="864" spans="2:2" ht="13" x14ac:dyDescent="0.15">
      <c r="B864" s="6"/>
    </row>
    <row r="865" spans="2:2" ht="13" x14ac:dyDescent="0.15">
      <c r="B865" s="6"/>
    </row>
    <row r="866" spans="2:2" ht="13" x14ac:dyDescent="0.15">
      <c r="B866" s="6"/>
    </row>
    <row r="867" spans="2:2" ht="13" x14ac:dyDescent="0.15">
      <c r="B867" s="6"/>
    </row>
    <row r="868" spans="2:2" ht="13" x14ac:dyDescent="0.15">
      <c r="B868" s="6"/>
    </row>
    <row r="869" spans="2:2" ht="13" x14ac:dyDescent="0.15">
      <c r="B869" s="6"/>
    </row>
    <row r="870" spans="2:2" ht="13" x14ac:dyDescent="0.15">
      <c r="B870" s="6"/>
    </row>
    <row r="871" spans="2:2" ht="13" x14ac:dyDescent="0.15">
      <c r="B871" s="6"/>
    </row>
    <row r="872" spans="2:2" ht="13" x14ac:dyDescent="0.15">
      <c r="B872" s="6"/>
    </row>
    <row r="873" spans="2:2" ht="13" x14ac:dyDescent="0.15">
      <c r="B873" s="6"/>
    </row>
    <row r="874" spans="2:2" ht="13" x14ac:dyDescent="0.15">
      <c r="B874" s="6"/>
    </row>
    <row r="875" spans="2:2" ht="13" x14ac:dyDescent="0.15">
      <c r="B875" s="6"/>
    </row>
    <row r="876" spans="2:2" ht="13" x14ac:dyDescent="0.15">
      <c r="B876" s="6"/>
    </row>
    <row r="877" spans="2:2" ht="13" x14ac:dyDescent="0.15">
      <c r="B877" s="6"/>
    </row>
    <row r="878" spans="2:2" ht="13" x14ac:dyDescent="0.15">
      <c r="B878" s="6"/>
    </row>
    <row r="879" spans="2:2" ht="13" x14ac:dyDescent="0.15">
      <c r="B879" s="6"/>
    </row>
    <row r="880" spans="2:2" ht="13" x14ac:dyDescent="0.15">
      <c r="B880" s="6"/>
    </row>
    <row r="881" spans="2:2" ht="13" x14ac:dyDescent="0.15">
      <c r="B881" s="6"/>
    </row>
    <row r="882" spans="2:2" ht="13" x14ac:dyDescent="0.15">
      <c r="B882" s="6"/>
    </row>
    <row r="883" spans="2:2" ht="13" x14ac:dyDescent="0.15">
      <c r="B883" s="6"/>
    </row>
    <row r="884" spans="2:2" ht="13" x14ac:dyDescent="0.15">
      <c r="B884" s="6"/>
    </row>
    <row r="885" spans="2:2" ht="13" x14ac:dyDescent="0.15">
      <c r="B885" s="6"/>
    </row>
    <row r="886" spans="2:2" ht="13" x14ac:dyDescent="0.15">
      <c r="B886" s="6"/>
    </row>
    <row r="887" spans="2:2" ht="13" x14ac:dyDescent="0.15">
      <c r="B887" s="6"/>
    </row>
    <row r="888" spans="2:2" ht="13" x14ac:dyDescent="0.15">
      <c r="B888" s="6"/>
    </row>
    <row r="889" spans="2:2" ht="13" x14ac:dyDescent="0.15">
      <c r="B889" s="6"/>
    </row>
    <row r="890" spans="2:2" ht="13" x14ac:dyDescent="0.15">
      <c r="B890" s="6"/>
    </row>
    <row r="891" spans="2:2" ht="13" x14ac:dyDescent="0.15">
      <c r="B891" s="6"/>
    </row>
    <row r="892" spans="2:2" ht="13" x14ac:dyDescent="0.15">
      <c r="B892" s="6"/>
    </row>
    <row r="893" spans="2:2" ht="13" x14ac:dyDescent="0.15">
      <c r="B893" s="6"/>
    </row>
    <row r="894" spans="2:2" ht="13" x14ac:dyDescent="0.15">
      <c r="B894" s="6"/>
    </row>
    <row r="895" spans="2:2" ht="13" x14ac:dyDescent="0.15">
      <c r="B895" s="6"/>
    </row>
    <row r="896" spans="2:2" ht="13" x14ac:dyDescent="0.15">
      <c r="B896" s="6"/>
    </row>
    <row r="897" spans="2:2" ht="13" x14ac:dyDescent="0.15">
      <c r="B897" s="6"/>
    </row>
    <row r="898" spans="2:2" ht="13" x14ac:dyDescent="0.15">
      <c r="B898" s="6"/>
    </row>
    <row r="899" spans="2:2" ht="13" x14ac:dyDescent="0.15">
      <c r="B899" s="6"/>
    </row>
    <row r="900" spans="2:2" ht="13" x14ac:dyDescent="0.15">
      <c r="B900" s="6"/>
    </row>
    <row r="901" spans="2:2" ht="13" x14ac:dyDescent="0.15">
      <c r="B901" s="6"/>
    </row>
    <row r="902" spans="2:2" ht="13" x14ac:dyDescent="0.15">
      <c r="B902" s="6"/>
    </row>
    <row r="903" spans="2:2" ht="13" x14ac:dyDescent="0.15">
      <c r="B903" s="6"/>
    </row>
    <row r="904" spans="2:2" ht="13" x14ac:dyDescent="0.15">
      <c r="B904" s="6"/>
    </row>
    <row r="905" spans="2:2" ht="13" x14ac:dyDescent="0.15">
      <c r="B905" s="6"/>
    </row>
    <row r="906" spans="2:2" ht="13" x14ac:dyDescent="0.15">
      <c r="B906" s="6"/>
    </row>
    <row r="907" spans="2:2" ht="13" x14ac:dyDescent="0.15">
      <c r="B907" s="6"/>
    </row>
    <row r="908" spans="2:2" ht="13" x14ac:dyDescent="0.15">
      <c r="B908" s="6"/>
    </row>
    <row r="909" spans="2:2" ht="13" x14ac:dyDescent="0.15">
      <c r="B909" s="6"/>
    </row>
    <row r="910" spans="2:2" ht="13" x14ac:dyDescent="0.15">
      <c r="B910" s="6"/>
    </row>
    <row r="911" spans="2:2" ht="13" x14ac:dyDescent="0.15">
      <c r="B911" s="6"/>
    </row>
    <row r="912" spans="2:2" ht="13" x14ac:dyDescent="0.15">
      <c r="B912" s="6"/>
    </row>
    <row r="913" spans="2:2" ht="13" x14ac:dyDescent="0.15">
      <c r="B913" s="6"/>
    </row>
    <row r="914" spans="2:2" ht="13" x14ac:dyDescent="0.15">
      <c r="B914" s="6"/>
    </row>
    <row r="915" spans="2:2" ht="13" x14ac:dyDescent="0.15">
      <c r="B915" s="6"/>
    </row>
    <row r="916" spans="2:2" ht="13" x14ac:dyDescent="0.15">
      <c r="B916" s="6"/>
    </row>
    <row r="917" spans="2:2" ht="13" x14ac:dyDescent="0.15">
      <c r="B917" s="6"/>
    </row>
    <row r="918" spans="2:2" ht="13" x14ac:dyDescent="0.15">
      <c r="B918" s="6"/>
    </row>
    <row r="919" spans="2:2" ht="13" x14ac:dyDescent="0.15">
      <c r="B919" s="6"/>
    </row>
    <row r="920" spans="2:2" ht="13" x14ac:dyDescent="0.15">
      <c r="B920" s="6"/>
    </row>
    <row r="921" spans="2:2" ht="13" x14ac:dyDescent="0.15">
      <c r="B921" s="6"/>
    </row>
    <row r="922" spans="2:2" ht="13" x14ac:dyDescent="0.15">
      <c r="B922" s="6"/>
    </row>
    <row r="923" spans="2:2" ht="13" x14ac:dyDescent="0.15">
      <c r="B923" s="6"/>
    </row>
    <row r="924" spans="2:2" ht="13" x14ac:dyDescent="0.15">
      <c r="B924" s="6"/>
    </row>
    <row r="925" spans="2:2" ht="13" x14ac:dyDescent="0.15">
      <c r="B925" s="6"/>
    </row>
    <row r="926" spans="2:2" ht="13" x14ac:dyDescent="0.15">
      <c r="B926" s="6"/>
    </row>
    <row r="927" spans="2:2" ht="13" x14ac:dyDescent="0.15">
      <c r="B927" s="6"/>
    </row>
    <row r="928" spans="2:2" ht="13" x14ac:dyDescent="0.15">
      <c r="B928" s="6"/>
    </row>
    <row r="929" spans="2:2" ht="13" x14ac:dyDescent="0.15">
      <c r="B929" s="6"/>
    </row>
    <row r="930" spans="2:2" ht="13" x14ac:dyDescent="0.15">
      <c r="B930" s="6"/>
    </row>
    <row r="931" spans="2:2" ht="13" x14ac:dyDescent="0.15">
      <c r="B931" s="6"/>
    </row>
    <row r="932" spans="2:2" ht="13" x14ac:dyDescent="0.15">
      <c r="B932" s="6"/>
    </row>
    <row r="933" spans="2:2" ht="13" x14ac:dyDescent="0.15">
      <c r="B933" s="6"/>
    </row>
    <row r="934" spans="2:2" ht="13" x14ac:dyDescent="0.15">
      <c r="B934" s="6"/>
    </row>
    <row r="935" spans="2:2" ht="13" x14ac:dyDescent="0.15">
      <c r="B935" s="6"/>
    </row>
    <row r="936" spans="2:2" ht="13" x14ac:dyDescent="0.15">
      <c r="B936" s="6"/>
    </row>
    <row r="937" spans="2:2" ht="13" x14ac:dyDescent="0.15">
      <c r="B937" s="6"/>
    </row>
    <row r="938" spans="2:2" ht="13" x14ac:dyDescent="0.15">
      <c r="B938" s="6"/>
    </row>
    <row r="939" spans="2:2" ht="13" x14ac:dyDescent="0.15">
      <c r="B939" s="6"/>
    </row>
    <row r="940" spans="2:2" ht="13" x14ac:dyDescent="0.15">
      <c r="B940" s="6"/>
    </row>
    <row r="941" spans="2:2" ht="13" x14ac:dyDescent="0.15">
      <c r="B941" s="6"/>
    </row>
    <row r="942" spans="2:2" ht="13" x14ac:dyDescent="0.15">
      <c r="B942" s="6"/>
    </row>
    <row r="943" spans="2:2" ht="13" x14ac:dyDescent="0.15">
      <c r="B943" s="6"/>
    </row>
    <row r="944" spans="2:2" ht="13" x14ac:dyDescent="0.15">
      <c r="B944" s="6"/>
    </row>
    <row r="945" spans="2:2" ht="13" x14ac:dyDescent="0.15">
      <c r="B945" s="6"/>
    </row>
    <row r="946" spans="2:2" ht="13" x14ac:dyDescent="0.15">
      <c r="B946" s="6"/>
    </row>
    <row r="947" spans="2:2" ht="13" x14ac:dyDescent="0.15">
      <c r="B947" s="6"/>
    </row>
    <row r="948" spans="2:2" ht="13" x14ac:dyDescent="0.15">
      <c r="B948" s="6"/>
    </row>
    <row r="949" spans="2:2" ht="13" x14ac:dyDescent="0.15">
      <c r="B949" s="6"/>
    </row>
    <row r="950" spans="2:2" ht="13" x14ac:dyDescent="0.15">
      <c r="B950" s="6"/>
    </row>
    <row r="951" spans="2:2" ht="13" x14ac:dyDescent="0.15">
      <c r="B951" s="6"/>
    </row>
    <row r="952" spans="2:2" ht="13" x14ac:dyDescent="0.15">
      <c r="B952" s="6"/>
    </row>
    <row r="953" spans="2:2" ht="13" x14ac:dyDescent="0.15">
      <c r="B953" s="6"/>
    </row>
    <row r="954" spans="2:2" ht="13" x14ac:dyDescent="0.15">
      <c r="B954" s="6"/>
    </row>
    <row r="955" spans="2:2" ht="13" x14ac:dyDescent="0.15">
      <c r="B955" s="6"/>
    </row>
    <row r="956" spans="2:2" ht="13" x14ac:dyDescent="0.15">
      <c r="B956" s="6"/>
    </row>
    <row r="957" spans="2:2" ht="13" x14ac:dyDescent="0.15">
      <c r="B957" s="6"/>
    </row>
    <row r="958" spans="2:2" ht="13" x14ac:dyDescent="0.15">
      <c r="B958" s="6"/>
    </row>
    <row r="959" spans="2:2" ht="13" x14ac:dyDescent="0.15">
      <c r="B959" s="6"/>
    </row>
    <row r="960" spans="2:2" ht="13" x14ac:dyDescent="0.15">
      <c r="B960" s="6"/>
    </row>
    <row r="961" spans="2:2" ht="13" x14ac:dyDescent="0.15">
      <c r="B961" s="6"/>
    </row>
    <row r="962" spans="2:2" ht="13" x14ac:dyDescent="0.15">
      <c r="B962" s="6"/>
    </row>
    <row r="963" spans="2:2" ht="13" x14ac:dyDescent="0.15">
      <c r="B963" s="6"/>
    </row>
    <row r="964" spans="2:2" ht="13" x14ac:dyDescent="0.15">
      <c r="B964" s="6"/>
    </row>
    <row r="965" spans="2:2" ht="13" x14ac:dyDescent="0.15">
      <c r="B965" s="6"/>
    </row>
    <row r="966" spans="2:2" ht="13" x14ac:dyDescent="0.15">
      <c r="B966" s="6"/>
    </row>
    <row r="967" spans="2:2" ht="13" x14ac:dyDescent="0.15">
      <c r="B967" s="6"/>
    </row>
    <row r="968" spans="2:2" ht="13" x14ac:dyDescent="0.15">
      <c r="B968" s="6"/>
    </row>
    <row r="969" spans="2:2" ht="13" x14ac:dyDescent="0.15">
      <c r="B969" s="6"/>
    </row>
    <row r="970" spans="2:2" ht="13" x14ac:dyDescent="0.15">
      <c r="B970" s="6"/>
    </row>
    <row r="971" spans="2:2" ht="13" x14ac:dyDescent="0.15">
      <c r="B971" s="6"/>
    </row>
    <row r="972" spans="2:2" ht="13" x14ac:dyDescent="0.15">
      <c r="B972" s="6"/>
    </row>
    <row r="973" spans="2:2" ht="13" x14ac:dyDescent="0.15">
      <c r="B973" s="6"/>
    </row>
    <row r="974" spans="2:2" ht="13" x14ac:dyDescent="0.15">
      <c r="B974" s="6"/>
    </row>
    <row r="975" spans="2:2" ht="13" x14ac:dyDescent="0.15">
      <c r="B975" s="6"/>
    </row>
    <row r="976" spans="2:2" ht="13" x14ac:dyDescent="0.15">
      <c r="B976" s="6"/>
    </row>
    <row r="977" spans="2:2" ht="13" x14ac:dyDescent="0.15">
      <c r="B977" s="6"/>
    </row>
    <row r="978" spans="2:2" ht="13" x14ac:dyDescent="0.15">
      <c r="B978" s="6"/>
    </row>
    <row r="979" spans="2:2" ht="13" x14ac:dyDescent="0.15">
      <c r="B979" s="6"/>
    </row>
    <row r="980" spans="2:2" ht="13" x14ac:dyDescent="0.15">
      <c r="B980" s="6"/>
    </row>
    <row r="981" spans="2:2" ht="13" x14ac:dyDescent="0.15">
      <c r="B981" s="6"/>
    </row>
    <row r="982" spans="2:2" ht="13" x14ac:dyDescent="0.15">
      <c r="B982" s="6"/>
    </row>
    <row r="983" spans="2:2" ht="13" x14ac:dyDescent="0.15">
      <c r="B983" s="6"/>
    </row>
    <row r="984" spans="2:2" ht="13" x14ac:dyDescent="0.15">
      <c r="B984" s="6"/>
    </row>
    <row r="985" spans="2:2" ht="13" x14ac:dyDescent="0.15">
      <c r="B985" s="6"/>
    </row>
    <row r="986" spans="2:2" ht="13" x14ac:dyDescent="0.15">
      <c r="B986" s="6"/>
    </row>
    <row r="987" spans="2:2" ht="13" x14ac:dyDescent="0.15">
      <c r="B987" s="6"/>
    </row>
    <row r="988" spans="2:2" ht="13" x14ac:dyDescent="0.15">
      <c r="B988" s="6"/>
    </row>
    <row r="989" spans="2:2" ht="13" x14ac:dyDescent="0.15">
      <c r="B989" s="6"/>
    </row>
    <row r="990" spans="2:2" ht="13" x14ac:dyDescent="0.15">
      <c r="B990" s="6"/>
    </row>
    <row r="991" spans="2:2" ht="13" x14ac:dyDescent="0.15">
      <c r="B991" s="6"/>
    </row>
    <row r="992" spans="2:2" ht="13" x14ac:dyDescent="0.15">
      <c r="B992" s="6"/>
    </row>
    <row r="993" spans="2:2" ht="13" x14ac:dyDescent="0.15">
      <c r="B993" s="6"/>
    </row>
    <row r="994" spans="2:2" ht="13" x14ac:dyDescent="0.15">
      <c r="B994" s="6"/>
    </row>
    <row r="995" spans="2:2" ht="13" x14ac:dyDescent="0.15">
      <c r="B995" s="6"/>
    </row>
    <row r="996" spans="2:2" ht="13" x14ac:dyDescent="0.15">
      <c r="B996" s="6"/>
    </row>
    <row r="997" spans="2:2" ht="13" x14ac:dyDescent="0.15">
      <c r="B997" s="6"/>
    </row>
    <row r="998" spans="2:2" ht="13" x14ac:dyDescent="0.15">
      <c r="B998" s="6"/>
    </row>
    <row r="999" spans="2:2" ht="13" x14ac:dyDescent="0.15">
      <c r="B999" s="6"/>
    </row>
    <row r="1000" spans="2:2" ht="13" x14ac:dyDescent="0.15">
      <c r="B1000" s="6"/>
    </row>
    <row r="1001" spans="2:2" ht="13" x14ac:dyDescent="0.15">
      <c r="B1001" s="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K277"/>
  <sheetViews>
    <sheetView workbookViewId="0"/>
  </sheetViews>
  <sheetFormatPr baseColWidth="10" defaultColWidth="12.6640625" defaultRowHeight="15.75" customHeight="1" x14ac:dyDescent="0.15"/>
  <cols>
    <col min="1" max="1" width="22.1640625" customWidth="1"/>
    <col min="7" max="7" width="15.33203125" customWidth="1"/>
    <col min="9" max="9" width="15.6640625" customWidth="1"/>
    <col min="10" max="10" width="17" customWidth="1"/>
  </cols>
  <sheetData>
    <row r="1" spans="1:11" ht="15.75" customHeight="1" x14ac:dyDescent="0.15">
      <c r="A1" s="1" t="s">
        <v>97</v>
      </c>
    </row>
    <row r="3" spans="1:11" ht="15.75" customHeight="1" x14ac:dyDescent="0.15">
      <c r="B3" s="5"/>
    </row>
    <row r="5" spans="1:11" ht="15.75" customHeight="1" x14ac:dyDescent="0.15">
      <c r="A5" s="1" t="s">
        <v>88</v>
      </c>
      <c r="B5" s="1" t="s">
        <v>89</v>
      </c>
      <c r="C5" s="1" t="s">
        <v>85</v>
      </c>
      <c r="D5" s="1" t="s">
        <v>90</v>
      </c>
      <c r="E5" s="1" t="s">
        <v>91</v>
      </c>
      <c r="F5" s="1" t="s">
        <v>92</v>
      </c>
      <c r="G5" s="1" t="s">
        <v>93</v>
      </c>
      <c r="H5" s="1" t="s">
        <v>94</v>
      </c>
      <c r="I5" s="1" t="s">
        <v>95</v>
      </c>
      <c r="J5" s="1" t="s">
        <v>58</v>
      </c>
      <c r="K5" s="1" t="s">
        <v>57</v>
      </c>
    </row>
    <row r="6" spans="1:11" ht="15.75" customHeight="1" x14ac:dyDescent="0.15">
      <c r="A6" s="5">
        <v>46274.847222222219</v>
      </c>
      <c r="B6" s="1" t="s">
        <v>40</v>
      </c>
      <c r="C6" s="1" t="s">
        <v>44</v>
      </c>
      <c r="D6" s="1">
        <v>2.42</v>
      </c>
      <c r="E6" s="1">
        <v>1.59</v>
      </c>
      <c r="F6" s="1">
        <v>3</v>
      </c>
      <c r="G6" s="1">
        <v>1.98</v>
      </c>
      <c r="H6" s="1">
        <v>-3</v>
      </c>
      <c r="I6" s="1">
        <v>1.85</v>
      </c>
      <c r="J6" s="5">
        <v>46273.476388888892</v>
      </c>
      <c r="K6" s="6">
        <v>1</v>
      </c>
    </row>
    <row r="7" spans="1:11" ht="15.75" customHeight="1" x14ac:dyDescent="0.15">
      <c r="A7" s="5">
        <v>46275.857638888891</v>
      </c>
      <c r="B7" s="1" t="s">
        <v>34</v>
      </c>
      <c r="C7" s="1" t="s">
        <v>41</v>
      </c>
      <c r="D7" s="1">
        <v>2.6</v>
      </c>
      <c r="E7" s="1">
        <v>1.52</v>
      </c>
      <c r="F7" s="1">
        <v>3.5</v>
      </c>
      <c r="G7" s="1">
        <v>1.93</v>
      </c>
      <c r="H7" s="1">
        <v>-3.5</v>
      </c>
      <c r="I7" s="1">
        <v>1.89</v>
      </c>
      <c r="J7" s="5">
        <v>46273.476388888892</v>
      </c>
      <c r="K7" s="6">
        <v>1</v>
      </c>
    </row>
    <row r="8" spans="1:11" ht="15.75" customHeight="1" x14ac:dyDescent="0.15">
      <c r="A8" s="5">
        <v>46278.541666666664</v>
      </c>
      <c r="B8" s="1" t="s">
        <v>65</v>
      </c>
      <c r="C8" s="1" t="s">
        <v>59</v>
      </c>
      <c r="D8" s="1">
        <v>2.4500000000000002</v>
      </c>
      <c r="E8" s="1">
        <v>1.57</v>
      </c>
      <c r="F8" s="1">
        <v>3</v>
      </c>
      <c r="G8" s="1">
        <v>2.02</v>
      </c>
      <c r="H8" s="1">
        <v>-3</v>
      </c>
      <c r="I8" s="1">
        <v>1.82</v>
      </c>
      <c r="J8" s="5">
        <v>46273.476388888892</v>
      </c>
      <c r="K8" s="6">
        <v>1</v>
      </c>
    </row>
    <row r="9" spans="1:11" ht="15.75" customHeight="1" x14ac:dyDescent="0.15">
      <c r="A9" s="5">
        <v>46278.541666666664</v>
      </c>
      <c r="B9" s="1" t="s">
        <v>15</v>
      </c>
      <c r="C9" s="1" t="s">
        <v>45</v>
      </c>
      <c r="D9" s="1">
        <v>1.57</v>
      </c>
      <c r="E9" s="1">
        <v>2.4500000000000002</v>
      </c>
      <c r="F9" s="1">
        <v>-3.5</v>
      </c>
      <c r="G9" s="1">
        <v>1.95</v>
      </c>
      <c r="H9" s="1">
        <v>3.5</v>
      </c>
      <c r="I9" s="1">
        <v>1.87</v>
      </c>
      <c r="J9" s="5">
        <v>46273.476388888892</v>
      </c>
      <c r="K9" s="6">
        <v>1</v>
      </c>
    </row>
    <row r="10" spans="1:11" ht="15.75" customHeight="1" x14ac:dyDescent="0.15">
      <c r="A10" s="5">
        <v>46278.541666666664</v>
      </c>
      <c r="B10" s="1" t="s">
        <v>51</v>
      </c>
      <c r="C10" s="1" t="s">
        <v>52</v>
      </c>
      <c r="D10" s="1">
        <v>1.87</v>
      </c>
      <c r="E10" s="1">
        <v>1.95</v>
      </c>
      <c r="F10" s="1">
        <v>-1.5</v>
      </c>
      <c r="G10" s="1">
        <v>1.98</v>
      </c>
      <c r="H10" s="1">
        <v>1.5</v>
      </c>
      <c r="I10" s="1">
        <v>1.85</v>
      </c>
      <c r="J10" s="5">
        <v>46273.476388888892</v>
      </c>
      <c r="K10" s="6">
        <v>1</v>
      </c>
    </row>
    <row r="11" spans="1:11" ht="15.75" customHeight="1" x14ac:dyDescent="0.15">
      <c r="A11" s="5">
        <v>46278.541666666664</v>
      </c>
      <c r="B11" s="1" t="s">
        <v>49</v>
      </c>
      <c r="C11" s="1" t="s">
        <v>64</v>
      </c>
      <c r="D11" s="1">
        <v>1.65</v>
      </c>
      <c r="E11" s="1">
        <v>2.2999999999999998</v>
      </c>
      <c r="F11" s="1">
        <v>-3</v>
      </c>
      <c r="G11" s="1">
        <v>1.98</v>
      </c>
      <c r="H11" s="1">
        <v>3</v>
      </c>
      <c r="I11" s="1">
        <v>1.85</v>
      </c>
      <c r="J11" s="5">
        <v>46273.476388888892</v>
      </c>
      <c r="K11" s="6">
        <v>1</v>
      </c>
    </row>
    <row r="12" spans="1:11" ht="15.75" customHeight="1" x14ac:dyDescent="0.15">
      <c r="A12" s="5">
        <v>46278.541666666664</v>
      </c>
      <c r="B12" s="1" t="s">
        <v>61</v>
      </c>
      <c r="C12" s="1" t="s">
        <v>47</v>
      </c>
      <c r="D12" s="1">
        <v>2.64</v>
      </c>
      <c r="E12" s="1">
        <v>1.51</v>
      </c>
      <c r="F12" s="1">
        <v>3.5</v>
      </c>
      <c r="G12" s="1">
        <v>1.93</v>
      </c>
      <c r="H12" s="1">
        <v>-3.5</v>
      </c>
      <c r="I12" s="1">
        <v>1.89</v>
      </c>
      <c r="J12" s="5">
        <v>46273.476388888892</v>
      </c>
      <c r="K12" s="6">
        <v>1</v>
      </c>
    </row>
    <row r="13" spans="1:11" ht="15.75" customHeight="1" x14ac:dyDescent="0.15">
      <c r="A13" s="5">
        <v>46278.541666666664</v>
      </c>
      <c r="B13" s="1" t="s">
        <v>68</v>
      </c>
      <c r="C13" s="1" t="s">
        <v>12</v>
      </c>
      <c r="D13" s="1">
        <v>4.3</v>
      </c>
      <c r="E13" s="1">
        <v>1.24</v>
      </c>
      <c r="F13" s="1">
        <v>8.5</v>
      </c>
      <c r="G13" s="1">
        <v>1.89</v>
      </c>
      <c r="H13" s="1">
        <v>-8.5</v>
      </c>
      <c r="I13" s="1">
        <v>1.93</v>
      </c>
      <c r="J13" s="5">
        <v>46273.476388888892</v>
      </c>
      <c r="K13" s="6">
        <v>1</v>
      </c>
    </row>
    <row r="14" spans="1:11" ht="15.75" customHeight="1" x14ac:dyDescent="0.15">
      <c r="A14" s="5">
        <v>46278.541666666664</v>
      </c>
      <c r="B14" s="1" t="s">
        <v>63</v>
      </c>
      <c r="C14" s="1" t="s">
        <v>22</v>
      </c>
      <c r="D14" s="1">
        <v>3.45</v>
      </c>
      <c r="E14" s="1">
        <v>1.33</v>
      </c>
      <c r="F14" s="1">
        <v>7</v>
      </c>
      <c r="G14" s="1">
        <v>1.87</v>
      </c>
      <c r="H14" s="1">
        <v>-7</v>
      </c>
      <c r="I14" s="1">
        <v>1.95</v>
      </c>
      <c r="J14" s="5">
        <v>46273.476388888892</v>
      </c>
      <c r="K14" s="6">
        <v>1</v>
      </c>
    </row>
    <row r="15" spans="1:11" ht="15.75" customHeight="1" x14ac:dyDescent="0.15">
      <c r="A15" s="5">
        <v>46278.541666666664</v>
      </c>
      <c r="B15" s="1" t="s">
        <v>67</v>
      </c>
      <c r="C15" s="1" t="s">
        <v>66</v>
      </c>
      <c r="D15" s="1">
        <v>2.0499999999999998</v>
      </c>
      <c r="E15" s="1">
        <v>1.8</v>
      </c>
      <c r="F15" s="1">
        <v>1.5</v>
      </c>
      <c r="G15" s="1">
        <v>1.91</v>
      </c>
      <c r="H15" s="1">
        <v>-1.5</v>
      </c>
      <c r="I15" s="1">
        <v>1.91</v>
      </c>
      <c r="J15" s="5">
        <v>46273.476388888892</v>
      </c>
      <c r="K15" s="6">
        <v>1</v>
      </c>
    </row>
    <row r="16" spans="1:11" ht="15.75" customHeight="1" x14ac:dyDescent="0.15">
      <c r="A16" s="5">
        <v>46278.684027777781</v>
      </c>
      <c r="B16" s="1" t="s">
        <v>69</v>
      </c>
      <c r="C16" s="1" t="s">
        <v>2</v>
      </c>
      <c r="D16" s="1">
        <v>4.8</v>
      </c>
      <c r="E16" s="1">
        <v>1.2</v>
      </c>
      <c r="F16" s="1">
        <v>10</v>
      </c>
      <c r="G16" s="1">
        <v>1.87</v>
      </c>
      <c r="H16" s="1">
        <v>-10</v>
      </c>
      <c r="I16" s="1">
        <v>1.95</v>
      </c>
      <c r="J16" s="5">
        <v>46273.476388888892</v>
      </c>
      <c r="K16" s="6">
        <v>1</v>
      </c>
    </row>
    <row r="17" spans="1:11" ht="15.75" customHeight="1" x14ac:dyDescent="0.15">
      <c r="A17" s="5">
        <v>46278.684027777781</v>
      </c>
      <c r="B17" s="1" t="s">
        <v>50</v>
      </c>
      <c r="C17" s="1" t="s">
        <v>37</v>
      </c>
      <c r="D17" s="1">
        <v>2.0499999999999998</v>
      </c>
      <c r="E17" s="1">
        <v>1.8</v>
      </c>
      <c r="F17" s="1">
        <v>1.5</v>
      </c>
      <c r="G17" s="1">
        <v>1.93</v>
      </c>
      <c r="H17" s="1">
        <v>-1.5</v>
      </c>
      <c r="I17" s="1">
        <v>1.89</v>
      </c>
      <c r="J17" s="5">
        <v>46273.476388888892</v>
      </c>
      <c r="K17" s="6">
        <v>1</v>
      </c>
    </row>
    <row r="18" spans="1:11" ht="15.75" customHeight="1" x14ac:dyDescent="0.15">
      <c r="A18" s="5">
        <v>46278.684027777781</v>
      </c>
      <c r="B18" s="1" t="s">
        <v>70</v>
      </c>
      <c r="C18" s="1" t="s">
        <v>18</v>
      </c>
      <c r="D18" s="1">
        <v>2.54</v>
      </c>
      <c r="E18" s="1">
        <v>1.54</v>
      </c>
      <c r="F18" s="1">
        <v>3.5</v>
      </c>
      <c r="G18" s="1">
        <v>1.87</v>
      </c>
      <c r="H18" s="1">
        <v>-3.5</v>
      </c>
      <c r="I18" s="1">
        <v>1.95</v>
      </c>
      <c r="J18" s="5">
        <v>46273.476388888892</v>
      </c>
      <c r="K18" s="6">
        <v>1</v>
      </c>
    </row>
    <row r="19" spans="1:11" ht="15.75" customHeight="1" x14ac:dyDescent="0.15">
      <c r="A19" s="5">
        <v>46278.684027777781</v>
      </c>
      <c r="B19" s="1" t="s">
        <v>62</v>
      </c>
      <c r="C19" s="1" t="s">
        <v>48</v>
      </c>
      <c r="D19" s="1">
        <v>2.8</v>
      </c>
      <c r="E19" s="1">
        <v>1.46</v>
      </c>
      <c r="F19" s="1">
        <v>5.5</v>
      </c>
      <c r="G19" s="1">
        <v>1.89</v>
      </c>
      <c r="H19" s="1">
        <v>-5.5</v>
      </c>
      <c r="I19" s="1">
        <v>1.93</v>
      </c>
      <c r="J19" s="5">
        <v>46273.476388888892</v>
      </c>
      <c r="K19" s="6">
        <v>1</v>
      </c>
    </row>
    <row r="20" spans="1:11" ht="15.75" customHeight="1" x14ac:dyDescent="0.15">
      <c r="A20" s="5">
        <v>46278.847222222219</v>
      </c>
      <c r="B20" s="1" t="s">
        <v>43</v>
      </c>
      <c r="C20" s="1" t="s">
        <v>60</v>
      </c>
      <c r="D20" s="1">
        <v>1.62</v>
      </c>
      <c r="E20" s="1">
        <v>2.36</v>
      </c>
      <c r="F20" s="1">
        <v>-3</v>
      </c>
      <c r="G20" s="1">
        <v>1.93</v>
      </c>
      <c r="H20" s="1">
        <v>3</v>
      </c>
      <c r="I20" s="1">
        <v>1.89</v>
      </c>
      <c r="J20" s="5">
        <v>46273.476388888892</v>
      </c>
      <c r="K20" s="6">
        <v>1</v>
      </c>
    </row>
    <row r="21" spans="1:11" ht="15.75" customHeight="1" x14ac:dyDescent="0.15">
      <c r="A21" s="5">
        <v>46279.84375</v>
      </c>
      <c r="B21" s="1" t="s">
        <v>42</v>
      </c>
      <c r="C21" s="1" t="s">
        <v>46</v>
      </c>
      <c r="D21" s="1">
        <v>2.2400000000000002</v>
      </c>
      <c r="E21" s="1">
        <v>1.68</v>
      </c>
      <c r="F21" s="1">
        <v>3</v>
      </c>
      <c r="G21" s="1">
        <v>1.83</v>
      </c>
      <c r="H21" s="1">
        <v>-3</v>
      </c>
      <c r="I21" s="1">
        <v>2</v>
      </c>
      <c r="J21" s="5">
        <v>46273.476388888892</v>
      </c>
      <c r="K21" s="6">
        <v>1</v>
      </c>
    </row>
    <row r="22" spans="1:11" ht="15.75" customHeight="1" x14ac:dyDescent="0.15">
      <c r="A22" s="5">
        <v>46282.84375</v>
      </c>
      <c r="B22" s="1" t="s">
        <v>22</v>
      </c>
      <c r="C22" s="1" t="s">
        <v>51</v>
      </c>
      <c r="D22" s="1">
        <v>2.36</v>
      </c>
      <c r="E22" s="1">
        <v>1.62</v>
      </c>
      <c r="F22" s="1">
        <v>3</v>
      </c>
      <c r="G22" s="1">
        <v>1.91</v>
      </c>
      <c r="H22" s="1">
        <v>-3</v>
      </c>
      <c r="I22" s="1">
        <v>1.91</v>
      </c>
      <c r="J22" s="5">
        <v>46273.476388888892</v>
      </c>
      <c r="K22" s="6">
        <v>2</v>
      </c>
    </row>
    <row r="23" spans="1:11" ht="15.75" customHeight="1" x14ac:dyDescent="0.15">
      <c r="A23" s="5">
        <v>46285.541666666664</v>
      </c>
      <c r="B23" s="1" t="s">
        <v>64</v>
      </c>
      <c r="C23" s="1" t="s">
        <v>65</v>
      </c>
      <c r="D23" s="1">
        <v>2.0499999999999998</v>
      </c>
      <c r="E23" s="1">
        <v>1.8</v>
      </c>
      <c r="F23" s="1">
        <v>1.5</v>
      </c>
      <c r="G23" s="1">
        <v>1.91</v>
      </c>
      <c r="H23" s="1">
        <v>-1.5</v>
      </c>
      <c r="I23" s="1">
        <v>1.91</v>
      </c>
      <c r="J23" s="5">
        <v>46273.476388888892</v>
      </c>
      <c r="K23" s="6">
        <v>2</v>
      </c>
    </row>
    <row r="24" spans="1:11" ht="15.75" customHeight="1" x14ac:dyDescent="0.15">
      <c r="A24" s="5">
        <v>46285.541666666664</v>
      </c>
      <c r="B24" s="1" t="s">
        <v>63</v>
      </c>
      <c r="C24" s="1" t="s">
        <v>15</v>
      </c>
      <c r="D24" s="1">
        <v>3.8</v>
      </c>
      <c r="E24" s="1">
        <v>1.28</v>
      </c>
      <c r="F24" s="1">
        <v>7.5</v>
      </c>
      <c r="G24" s="1">
        <v>1.91</v>
      </c>
      <c r="H24" s="1">
        <v>-7.5</v>
      </c>
      <c r="I24" s="1">
        <v>1.91</v>
      </c>
      <c r="J24" s="5">
        <v>46273.476388888892</v>
      </c>
      <c r="K24" s="6">
        <v>2</v>
      </c>
    </row>
    <row r="25" spans="1:11" ht="15.75" customHeight="1" x14ac:dyDescent="0.15">
      <c r="A25" s="5">
        <v>46285.541666666664</v>
      </c>
      <c r="B25" s="1" t="s">
        <v>37</v>
      </c>
      <c r="C25" s="1" t="s">
        <v>49</v>
      </c>
      <c r="D25" s="1">
        <v>2.6</v>
      </c>
      <c r="E25" s="1">
        <v>1.52</v>
      </c>
      <c r="F25" s="1">
        <v>3.5</v>
      </c>
      <c r="G25" s="1">
        <v>1.87</v>
      </c>
      <c r="H25" s="1">
        <v>-3.5</v>
      </c>
      <c r="I25" s="1">
        <v>1.95</v>
      </c>
      <c r="J25" s="5">
        <v>46273.476388888892</v>
      </c>
      <c r="K25" s="6">
        <v>2</v>
      </c>
    </row>
    <row r="26" spans="1:11" ht="15.75" customHeight="1" x14ac:dyDescent="0.15">
      <c r="A26" s="5">
        <v>46285.541666666664</v>
      </c>
      <c r="B26" s="1" t="s">
        <v>47</v>
      </c>
      <c r="C26" s="1" t="s">
        <v>52</v>
      </c>
      <c r="D26" s="1">
        <v>2.14</v>
      </c>
      <c r="E26" s="1">
        <v>1.74</v>
      </c>
      <c r="F26" s="1">
        <v>2.5</v>
      </c>
      <c r="G26" s="1">
        <v>1.91</v>
      </c>
      <c r="H26" s="1">
        <v>-2.5</v>
      </c>
      <c r="I26" s="1">
        <v>1.91</v>
      </c>
      <c r="J26" s="5">
        <v>46273.476388888892</v>
      </c>
      <c r="K26" s="6">
        <v>2</v>
      </c>
    </row>
    <row r="27" spans="1:11" ht="15.75" customHeight="1" x14ac:dyDescent="0.15">
      <c r="A27" s="5">
        <v>46285.541666666664</v>
      </c>
      <c r="B27" s="1" t="s">
        <v>68</v>
      </c>
      <c r="C27" s="1" t="s">
        <v>61</v>
      </c>
      <c r="D27" s="1">
        <v>3.25</v>
      </c>
      <c r="E27" s="1">
        <v>1.36</v>
      </c>
      <c r="F27" s="1">
        <v>6.5</v>
      </c>
      <c r="G27" s="1">
        <v>1.91</v>
      </c>
      <c r="H27" s="1">
        <v>-6.5</v>
      </c>
      <c r="I27" s="1">
        <v>1.91</v>
      </c>
      <c r="J27" s="5">
        <v>46273.476388888892</v>
      </c>
      <c r="K27" s="6">
        <v>2</v>
      </c>
    </row>
    <row r="28" spans="1:11" ht="15.75" customHeight="1" x14ac:dyDescent="0.15">
      <c r="A28" s="5">
        <v>46285.541666666664</v>
      </c>
      <c r="B28" s="1" t="s">
        <v>50</v>
      </c>
      <c r="C28" s="1" t="s">
        <v>67</v>
      </c>
      <c r="D28" s="1">
        <v>1.41</v>
      </c>
      <c r="E28" s="1">
        <v>3</v>
      </c>
      <c r="F28" s="1">
        <v>-5.5</v>
      </c>
      <c r="G28" s="1">
        <v>1.91</v>
      </c>
      <c r="H28" s="1">
        <v>5.5</v>
      </c>
      <c r="I28" s="1">
        <v>1.91</v>
      </c>
      <c r="J28" s="5">
        <v>46273.476388888892</v>
      </c>
      <c r="K28" s="6">
        <v>2</v>
      </c>
    </row>
    <row r="29" spans="1:11" ht="15.75" customHeight="1" x14ac:dyDescent="0.15">
      <c r="A29" s="5">
        <v>46285.541666666664</v>
      </c>
      <c r="B29" s="1" t="s">
        <v>59</v>
      </c>
      <c r="C29" s="1" t="s">
        <v>40</v>
      </c>
      <c r="D29" s="1">
        <v>2.8</v>
      </c>
      <c r="E29" s="1">
        <v>1.46</v>
      </c>
      <c r="F29" s="1">
        <v>4.5</v>
      </c>
      <c r="G29" s="1">
        <v>1.91</v>
      </c>
      <c r="H29" s="1">
        <v>-4.5</v>
      </c>
      <c r="I29" s="1">
        <v>1.91</v>
      </c>
      <c r="J29" s="5">
        <v>46273.476388888892</v>
      </c>
      <c r="K29" s="6">
        <v>2</v>
      </c>
    </row>
    <row r="30" spans="1:11" ht="15.75" customHeight="1" x14ac:dyDescent="0.15">
      <c r="A30" s="5">
        <v>46285.541666666664</v>
      </c>
      <c r="B30" s="1" t="s">
        <v>48</v>
      </c>
      <c r="C30" s="1" t="s">
        <v>66</v>
      </c>
      <c r="D30" s="1">
        <v>1.46</v>
      </c>
      <c r="E30" s="1">
        <v>2.8</v>
      </c>
      <c r="F30" s="1">
        <v>-4.5</v>
      </c>
      <c r="G30" s="1">
        <v>1.91</v>
      </c>
      <c r="H30" s="1">
        <v>4.5</v>
      </c>
      <c r="I30" s="1">
        <v>1.91</v>
      </c>
      <c r="J30" s="5">
        <v>46273.476388888892</v>
      </c>
      <c r="K30" s="6">
        <v>2</v>
      </c>
    </row>
    <row r="31" spans="1:11" ht="15.75" customHeight="1" x14ac:dyDescent="0.15">
      <c r="A31" s="5">
        <v>46285.670138888891</v>
      </c>
      <c r="B31" s="1" t="s">
        <v>12</v>
      </c>
      <c r="C31" s="1" t="s">
        <v>42</v>
      </c>
      <c r="D31" s="1">
        <v>2.2999999999999998</v>
      </c>
      <c r="E31" s="1">
        <v>1.65</v>
      </c>
      <c r="F31" s="1">
        <v>3</v>
      </c>
      <c r="G31" s="1">
        <v>1.91</v>
      </c>
      <c r="H31" s="1">
        <v>-3</v>
      </c>
      <c r="I31" s="1">
        <v>1.91</v>
      </c>
      <c r="J31" s="5">
        <v>46273.476388888892</v>
      </c>
      <c r="K31" s="6">
        <v>2</v>
      </c>
    </row>
    <row r="32" spans="1:11" ht="15.75" customHeight="1" x14ac:dyDescent="0.15">
      <c r="A32" s="5">
        <v>46285.670138888891</v>
      </c>
      <c r="B32" s="1" t="s">
        <v>18</v>
      </c>
      <c r="C32" s="1" t="s">
        <v>2</v>
      </c>
      <c r="D32" s="1">
        <v>3.85</v>
      </c>
      <c r="E32" s="1">
        <v>1.28</v>
      </c>
      <c r="F32" s="1">
        <v>8.5</v>
      </c>
      <c r="G32" s="1">
        <v>1.91</v>
      </c>
      <c r="H32" s="1">
        <v>-8.5</v>
      </c>
      <c r="I32" s="1">
        <v>1.91</v>
      </c>
      <c r="J32" s="5">
        <v>46273.476388888892</v>
      </c>
      <c r="K32" s="6">
        <v>2</v>
      </c>
    </row>
    <row r="33" spans="1:11" ht="15.75" customHeight="1" x14ac:dyDescent="0.15">
      <c r="A33" s="5">
        <v>46285.684027777781</v>
      </c>
      <c r="B33" s="1" t="s">
        <v>44</v>
      </c>
      <c r="C33" s="1" t="s">
        <v>69</v>
      </c>
      <c r="D33" s="1">
        <v>1.18</v>
      </c>
      <c r="E33" s="1">
        <v>5.0999999999999996</v>
      </c>
      <c r="F33" s="1">
        <v>-10</v>
      </c>
      <c r="G33" s="1">
        <v>1.91</v>
      </c>
      <c r="H33" s="1">
        <v>10</v>
      </c>
      <c r="I33" s="1">
        <v>1.91</v>
      </c>
      <c r="J33" s="5">
        <v>46273.476388888892</v>
      </c>
      <c r="K33" s="6">
        <v>2</v>
      </c>
    </row>
    <row r="34" spans="1:11" ht="15.75" customHeight="1" x14ac:dyDescent="0.15">
      <c r="A34" s="5">
        <v>46285.684027777781</v>
      </c>
      <c r="B34" s="1" t="s">
        <v>62</v>
      </c>
      <c r="C34" s="1" t="s">
        <v>43</v>
      </c>
      <c r="D34" s="1">
        <v>2.7</v>
      </c>
      <c r="E34" s="1">
        <v>1.49</v>
      </c>
      <c r="F34" s="1">
        <v>4.5</v>
      </c>
      <c r="G34" s="1">
        <v>1.87</v>
      </c>
      <c r="H34" s="1">
        <v>-4.5</v>
      </c>
      <c r="I34" s="1">
        <v>1.95</v>
      </c>
      <c r="J34" s="5">
        <v>46273.476388888892</v>
      </c>
      <c r="K34" s="6">
        <v>2</v>
      </c>
    </row>
    <row r="35" spans="1:11" ht="15.75" customHeight="1" x14ac:dyDescent="0.15">
      <c r="A35" s="5">
        <v>46285.684027777781</v>
      </c>
      <c r="B35" s="1" t="s">
        <v>70</v>
      </c>
      <c r="C35" s="1" t="s">
        <v>34</v>
      </c>
      <c r="D35" s="1">
        <v>5.9</v>
      </c>
      <c r="E35" s="1">
        <v>1.1499999999999999</v>
      </c>
      <c r="F35" s="1">
        <v>10.5</v>
      </c>
      <c r="G35" s="1">
        <v>1.91</v>
      </c>
      <c r="H35" s="1">
        <v>-10.5</v>
      </c>
      <c r="I35" s="1">
        <v>1.91</v>
      </c>
      <c r="J35" s="5">
        <v>46273.476388888892</v>
      </c>
      <c r="K35" s="6">
        <v>2</v>
      </c>
    </row>
    <row r="36" spans="1:11" ht="15.75" customHeight="1" x14ac:dyDescent="0.15">
      <c r="A36" s="5">
        <v>46285.847222222219</v>
      </c>
      <c r="B36" s="1" t="s">
        <v>45</v>
      </c>
      <c r="C36" s="1" t="s">
        <v>46</v>
      </c>
      <c r="D36" s="1">
        <v>3.6</v>
      </c>
      <c r="E36" s="1">
        <v>1.31</v>
      </c>
      <c r="F36" s="1">
        <v>6.5</v>
      </c>
      <c r="G36" s="1">
        <v>1.91</v>
      </c>
      <c r="H36" s="1">
        <v>-6.5</v>
      </c>
      <c r="I36" s="1">
        <v>1.91</v>
      </c>
      <c r="J36" s="5">
        <v>46273.476388888892</v>
      </c>
      <c r="K36" s="6">
        <v>2</v>
      </c>
    </row>
    <row r="37" spans="1:11" ht="15.75" customHeight="1" x14ac:dyDescent="0.15">
      <c r="A37" s="5">
        <v>46286.84375</v>
      </c>
      <c r="B37" s="1" t="s">
        <v>60</v>
      </c>
      <c r="C37" s="1" t="s">
        <v>41</v>
      </c>
      <c r="D37" s="1">
        <v>4</v>
      </c>
      <c r="E37" s="1">
        <v>1.26</v>
      </c>
      <c r="F37" s="1">
        <v>8.5</v>
      </c>
      <c r="G37" s="1">
        <v>1.91</v>
      </c>
      <c r="H37" s="1">
        <v>-8.5</v>
      </c>
      <c r="I37" s="1">
        <v>1.91</v>
      </c>
      <c r="J37" s="5">
        <v>46273.476388888892</v>
      </c>
      <c r="K37" s="6">
        <v>2</v>
      </c>
    </row>
    <row r="38" spans="1:11" ht="15.75" customHeight="1" x14ac:dyDescent="0.15">
      <c r="A38" s="5">
        <v>46289.84375</v>
      </c>
      <c r="B38" s="1" t="s">
        <v>65</v>
      </c>
      <c r="C38" s="1" t="s">
        <v>50</v>
      </c>
      <c r="D38" s="1">
        <v>3.95</v>
      </c>
      <c r="E38" s="1">
        <v>1.27</v>
      </c>
      <c r="F38" s="1">
        <v>7.5</v>
      </c>
      <c r="G38" s="1">
        <v>1.91</v>
      </c>
      <c r="H38" s="1">
        <v>-7.5</v>
      </c>
      <c r="I38" s="1">
        <v>1.91</v>
      </c>
      <c r="J38" s="5">
        <v>46273.476388888892</v>
      </c>
      <c r="K38" s="6">
        <v>3</v>
      </c>
    </row>
    <row r="39" spans="1:11" ht="15.75" customHeight="1" x14ac:dyDescent="0.15">
      <c r="A39" s="5">
        <v>46292.541666666664</v>
      </c>
      <c r="B39" s="1" t="s">
        <v>2</v>
      </c>
      <c r="C39" s="1" t="s">
        <v>51</v>
      </c>
      <c r="D39" s="1">
        <v>2.36</v>
      </c>
      <c r="E39" s="1">
        <v>1.62</v>
      </c>
      <c r="F39" s="1">
        <v>3</v>
      </c>
      <c r="G39" s="1">
        <v>1.91</v>
      </c>
      <c r="H39" s="1">
        <v>-3</v>
      </c>
      <c r="I39" s="1">
        <v>1.91</v>
      </c>
      <c r="J39" s="5">
        <v>46273.476388888892</v>
      </c>
      <c r="K39" s="6">
        <v>3</v>
      </c>
    </row>
    <row r="40" spans="1:11" ht="15.75" customHeight="1" x14ac:dyDescent="0.15">
      <c r="A40" s="5">
        <v>46292.541666666664</v>
      </c>
      <c r="B40" s="1" t="s">
        <v>64</v>
      </c>
      <c r="C40" s="1" t="s">
        <v>68</v>
      </c>
      <c r="D40" s="1">
        <v>1.82</v>
      </c>
      <c r="E40" s="1">
        <v>2.02</v>
      </c>
      <c r="F40" s="1">
        <v>-1.5</v>
      </c>
      <c r="G40" s="1">
        <v>1.91</v>
      </c>
      <c r="H40" s="1">
        <v>1.5</v>
      </c>
      <c r="I40" s="1">
        <v>1.91</v>
      </c>
      <c r="J40" s="5">
        <v>46273.476388888892</v>
      </c>
      <c r="K40" s="6">
        <v>3</v>
      </c>
    </row>
    <row r="41" spans="1:11" ht="15.75" customHeight="1" x14ac:dyDescent="0.15">
      <c r="A41" s="5">
        <v>46292.541666666664</v>
      </c>
      <c r="B41" s="1" t="s">
        <v>47</v>
      </c>
      <c r="C41" s="1" t="s">
        <v>59</v>
      </c>
      <c r="D41" s="1">
        <v>1.8</v>
      </c>
      <c r="E41" s="1">
        <v>2.0499999999999998</v>
      </c>
      <c r="F41" s="1">
        <v>-1.5</v>
      </c>
      <c r="G41" s="1">
        <v>1.91</v>
      </c>
      <c r="H41" s="1">
        <v>1.5</v>
      </c>
      <c r="I41" s="1">
        <v>1.91</v>
      </c>
      <c r="J41" s="5">
        <v>46273.476388888892</v>
      </c>
      <c r="K41" s="6">
        <v>3</v>
      </c>
    </row>
    <row r="42" spans="1:11" ht="15.75" customHeight="1" x14ac:dyDescent="0.15">
      <c r="A42" s="5">
        <v>46292.541666666664</v>
      </c>
      <c r="B42" s="1" t="s">
        <v>67</v>
      </c>
      <c r="C42" s="1" t="s">
        <v>22</v>
      </c>
      <c r="D42" s="1">
        <v>4.2</v>
      </c>
      <c r="E42" s="1">
        <v>1.24</v>
      </c>
      <c r="F42" s="1">
        <v>9.5</v>
      </c>
      <c r="G42" s="1">
        <v>1.91</v>
      </c>
      <c r="H42" s="1">
        <v>-9.5</v>
      </c>
      <c r="I42" s="1">
        <v>1.91</v>
      </c>
      <c r="J42" s="5">
        <v>46273.476388888892</v>
      </c>
      <c r="K42" s="6">
        <v>3</v>
      </c>
    </row>
    <row r="43" spans="1:11" ht="15.75" customHeight="1" x14ac:dyDescent="0.15">
      <c r="A43" s="5">
        <v>46292.541666666664</v>
      </c>
      <c r="B43" s="1" t="s">
        <v>52</v>
      </c>
      <c r="C43" s="1" t="s">
        <v>45</v>
      </c>
      <c r="D43" s="1">
        <v>1.82</v>
      </c>
      <c r="E43" s="1">
        <v>2.02</v>
      </c>
      <c r="F43" s="1">
        <v>-1.5</v>
      </c>
      <c r="G43" s="1">
        <v>1.91</v>
      </c>
      <c r="H43" s="1">
        <v>1.5</v>
      </c>
      <c r="I43" s="1">
        <v>1.91</v>
      </c>
      <c r="J43" s="5">
        <v>46273.476388888892</v>
      </c>
      <c r="K43" s="6">
        <v>3</v>
      </c>
    </row>
    <row r="44" spans="1:11" ht="15.75" customHeight="1" x14ac:dyDescent="0.15">
      <c r="A44" s="5">
        <v>46292.541666666664</v>
      </c>
      <c r="B44" s="1" t="s">
        <v>40</v>
      </c>
      <c r="C44" s="1" t="s">
        <v>12</v>
      </c>
      <c r="D44" s="1">
        <v>1.98</v>
      </c>
      <c r="E44" s="1">
        <v>1.85</v>
      </c>
      <c r="F44" s="1">
        <v>1.5</v>
      </c>
      <c r="G44" s="1">
        <v>1.87</v>
      </c>
      <c r="H44" s="1">
        <v>-1.5</v>
      </c>
      <c r="I44" s="1">
        <v>1.95</v>
      </c>
      <c r="J44" s="5">
        <v>46273.476388888892</v>
      </c>
      <c r="K44" s="6">
        <v>3</v>
      </c>
    </row>
    <row r="45" spans="1:11" ht="15.75" customHeight="1" x14ac:dyDescent="0.15">
      <c r="A45" s="5">
        <v>46292.541666666664</v>
      </c>
      <c r="B45" s="1" t="s">
        <v>46</v>
      </c>
      <c r="C45" s="1" t="s">
        <v>70</v>
      </c>
      <c r="D45" s="1">
        <v>1.23</v>
      </c>
      <c r="E45" s="1">
        <v>4.4000000000000004</v>
      </c>
      <c r="F45" s="1">
        <v>-7.5</v>
      </c>
      <c r="G45" s="1">
        <v>1.91</v>
      </c>
      <c r="H45" s="1">
        <v>7.5</v>
      </c>
      <c r="I45" s="1">
        <v>1.91</v>
      </c>
      <c r="J45" s="5">
        <v>46273.476388888892</v>
      </c>
      <c r="K45" s="6">
        <v>3</v>
      </c>
    </row>
    <row r="46" spans="1:11" ht="15.75" customHeight="1" x14ac:dyDescent="0.15">
      <c r="A46" s="5">
        <v>46292.541666666664</v>
      </c>
      <c r="B46" s="1" t="s">
        <v>66</v>
      </c>
      <c r="C46" s="1" t="s">
        <v>60</v>
      </c>
      <c r="D46" s="1">
        <v>2.4</v>
      </c>
      <c r="E46" s="1">
        <v>1.6</v>
      </c>
      <c r="F46" s="1">
        <v>3</v>
      </c>
      <c r="G46" s="1">
        <v>1.95</v>
      </c>
      <c r="H46" s="1">
        <v>-3</v>
      </c>
      <c r="I46" s="1">
        <v>1.87</v>
      </c>
      <c r="J46" s="5">
        <v>46273.476388888892</v>
      </c>
      <c r="K46" s="6">
        <v>3</v>
      </c>
    </row>
    <row r="47" spans="1:11" ht="15.75" customHeight="1" x14ac:dyDescent="0.15">
      <c r="A47" s="5">
        <v>46292.541666666664</v>
      </c>
      <c r="B47" s="1" t="s">
        <v>44</v>
      </c>
      <c r="C47" s="1" t="s">
        <v>62</v>
      </c>
      <c r="D47" s="1">
        <v>1.52</v>
      </c>
      <c r="E47" s="1">
        <v>2.6</v>
      </c>
      <c r="F47" s="1">
        <v>-3.5</v>
      </c>
      <c r="G47" s="1">
        <v>1.91</v>
      </c>
      <c r="H47" s="1">
        <v>3.5</v>
      </c>
      <c r="I47" s="1">
        <v>1.91</v>
      </c>
      <c r="J47" s="5">
        <v>46273.476388888892</v>
      </c>
      <c r="K47" s="6">
        <v>3</v>
      </c>
    </row>
    <row r="48" spans="1:11" ht="15.75" customHeight="1" x14ac:dyDescent="0.15">
      <c r="A48" s="5">
        <v>46292.670138888891</v>
      </c>
      <c r="B48" s="1" t="s">
        <v>69</v>
      </c>
      <c r="C48" s="1" t="s">
        <v>34</v>
      </c>
      <c r="D48" s="1">
        <v>5.7</v>
      </c>
      <c r="E48" s="1">
        <v>1.1499999999999999</v>
      </c>
      <c r="F48" s="1">
        <v>11.5</v>
      </c>
      <c r="G48" s="1">
        <v>1.91</v>
      </c>
      <c r="H48" s="1">
        <v>-11.5</v>
      </c>
      <c r="I48" s="1">
        <v>1.91</v>
      </c>
      <c r="J48" s="5">
        <v>46273.476388888892</v>
      </c>
      <c r="K48" s="6">
        <v>3</v>
      </c>
    </row>
    <row r="49" spans="1:11" ht="15.75" customHeight="1" x14ac:dyDescent="0.15">
      <c r="A49" s="5">
        <v>46292.670138888891</v>
      </c>
      <c r="B49" s="1" t="s">
        <v>37</v>
      </c>
      <c r="C49" s="1" t="s">
        <v>61</v>
      </c>
      <c r="D49" s="1">
        <v>2.0499999999999998</v>
      </c>
      <c r="E49" s="1">
        <v>1.8</v>
      </c>
      <c r="F49" s="1">
        <v>1.5</v>
      </c>
      <c r="G49" s="1">
        <v>1.91</v>
      </c>
      <c r="H49" s="1">
        <v>-1.5</v>
      </c>
      <c r="I49" s="1">
        <v>1.91</v>
      </c>
      <c r="J49" s="5">
        <v>46273.476388888892</v>
      </c>
      <c r="K49" s="6">
        <v>3</v>
      </c>
    </row>
    <row r="50" spans="1:11" ht="15.75" customHeight="1" x14ac:dyDescent="0.15">
      <c r="A50" s="5">
        <v>46292.684027777781</v>
      </c>
      <c r="B50" s="1" t="s">
        <v>15</v>
      </c>
      <c r="C50" s="1" t="s">
        <v>43</v>
      </c>
      <c r="D50" s="1">
        <v>1.74</v>
      </c>
      <c r="E50" s="1">
        <v>2.14</v>
      </c>
      <c r="F50" s="1">
        <v>-2.5</v>
      </c>
      <c r="G50" s="1">
        <v>1.91</v>
      </c>
      <c r="H50" s="1">
        <v>2.5</v>
      </c>
      <c r="I50" s="1">
        <v>1.91</v>
      </c>
      <c r="J50" s="5">
        <v>46273.476388888892</v>
      </c>
      <c r="K50" s="6">
        <v>3</v>
      </c>
    </row>
    <row r="51" spans="1:11" ht="15.75" customHeight="1" x14ac:dyDescent="0.15">
      <c r="A51" s="5">
        <v>46292.684027777781</v>
      </c>
      <c r="B51" s="1" t="s">
        <v>18</v>
      </c>
      <c r="C51" s="1" t="s">
        <v>63</v>
      </c>
      <c r="D51" s="1">
        <v>2.54</v>
      </c>
      <c r="E51" s="1">
        <v>1.54</v>
      </c>
      <c r="F51" s="1">
        <v>3.5</v>
      </c>
      <c r="G51" s="1">
        <v>1.91</v>
      </c>
      <c r="H51" s="1">
        <v>-3.5</v>
      </c>
      <c r="I51" s="1">
        <v>1.91</v>
      </c>
      <c r="J51" s="5">
        <v>46273.476388888892</v>
      </c>
      <c r="K51" s="6">
        <v>3</v>
      </c>
    </row>
    <row r="52" spans="1:11" ht="13" x14ac:dyDescent="0.15">
      <c r="A52" s="5">
        <v>46292.847222222219</v>
      </c>
      <c r="B52" s="1" t="s">
        <v>41</v>
      </c>
      <c r="C52" s="1" t="s">
        <v>42</v>
      </c>
      <c r="D52" s="1">
        <v>1.65</v>
      </c>
      <c r="E52" s="1">
        <v>2.2999999999999998</v>
      </c>
      <c r="F52" s="1">
        <v>-3</v>
      </c>
      <c r="G52" s="1">
        <v>1.91</v>
      </c>
      <c r="H52" s="1">
        <v>3</v>
      </c>
      <c r="I52" s="1">
        <v>1.91</v>
      </c>
      <c r="J52" s="5">
        <v>46273.476388888892</v>
      </c>
      <c r="K52" s="6">
        <v>3</v>
      </c>
    </row>
    <row r="53" spans="1:11" ht="13" x14ac:dyDescent="0.15">
      <c r="A53" s="5">
        <v>46293.84375</v>
      </c>
      <c r="B53" s="1" t="s">
        <v>48</v>
      </c>
      <c r="C53" s="1" t="s">
        <v>49</v>
      </c>
      <c r="D53" s="1">
        <v>1.98</v>
      </c>
      <c r="E53" s="1">
        <v>1.85</v>
      </c>
      <c r="F53" s="1">
        <v>1.5</v>
      </c>
      <c r="G53" s="1">
        <v>1.87</v>
      </c>
      <c r="H53" s="1">
        <v>-1.5</v>
      </c>
      <c r="I53" s="1">
        <v>1.95</v>
      </c>
      <c r="J53" s="5">
        <v>46273.476388888892</v>
      </c>
      <c r="K53" s="6">
        <v>3</v>
      </c>
    </row>
    <row r="54" spans="1:11" ht="13" x14ac:dyDescent="0.15">
      <c r="A54" s="5">
        <v>46296.84375</v>
      </c>
      <c r="B54" s="1" t="s">
        <v>59</v>
      </c>
      <c r="C54" s="1" t="s">
        <v>68</v>
      </c>
      <c r="D54" s="1">
        <v>1.74</v>
      </c>
      <c r="E54" s="1">
        <v>2.14</v>
      </c>
      <c r="F54" s="1">
        <v>-2.5</v>
      </c>
      <c r="G54" s="1">
        <v>1.91</v>
      </c>
      <c r="H54" s="1">
        <v>2.5</v>
      </c>
      <c r="I54" s="1">
        <v>1.91</v>
      </c>
      <c r="J54" s="5">
        <v>46273.476388888892</v>
      </c>
      <c r="K54" s="6">
        <v>4</v>
      </c>
    </row>
    <row r="55" spans="1:11" ht="13" x14ac:dyDescent="0.15">
      <c r="A55" s="5">
        <v>46299.395833333336</v>
      </c>
      <c r="B55" s="1" t="s">
        <v>45</v>
      </c>
      <c r="C55" s="1" t="s">
        <v>62</v>
      </c>
      <c r="D55" s="1">
        <v>1.98</v>
      </c>
      <c r="E55" s="1">
        <v>1.85</v>
      </c>
      <c r="F55" s="1">
        <v>1.5</v>
      </c>
      <c r="G55" s="1">
        <v>1.87</v>
      </c>
      <c r="H55" s="1">
        <v>-1.5</v>
      </c>
      <c r="I55" s="1">
        <v>1.95</v>
      </c>
      <c r="J55" s="5">
        <v>46273.476388888892</v>
      </c>
      <c r="K55" s="6">
        <v>4</v>
      </c>
    </row>
    <row r="56" spans="1:11" ht="13" x14ac:dyDescent="0.15">
      <c r="A56" s="5">
        <v>46299.541666666664</v>
      </c>
      <c r="B56" s="1" t="s">
        <v>69</v>
      </c>
      <c r="C56" s="1" t="s">
        <v>60</v>
      </c>
      <c r="D56" s="1">
        <v>3.6</v>
      </c>
      <c r="E56" s="1">
        <v>1.31</v>
      </c>
      <c r="F56" s="1">
        <v>7</v>
      </c>
      <c r="G56" s="1">
        <v>1.91</v>
      </c>
      <c r="H56" s="1">
        <v>-7</v>
      </c>
      <c r="I56" s="1">
        <v>1.91</v>
      </c>
      <c r="J56" s="5">
        <v>46273.476388888892</v>
      </c>
      <c r="K56" s="6">
        <v>4</v>
      </c>
    </row>
    <row r="57" spans="1:11" ht="13" x14ac:dyDescent="0.15">
      <c r="A57" s="5">
        <v>46299.541666666664</v>
      </c>
      <c r="B57" s="1" t="s">
        <v>66</v>
      </c>
      <c r="C57" s="1" t="s">
        <v>15</v>
      </c>
      <c r="D57" s="1">
        <v>4.0999999999999996</v>
      </c>
      <c r="E57" s="1">
        <v>1.25</v>
      </c>
      <c r="F57" s="1">
        <v>8.5</v>
      </c>
      <c r="G57" s="1">
        <v>1.91</v>
      </c>
      <c r="H57" s="1">
        <v>-8.5</v>
      </c>
      <c r="I57" s="1">
        <v>1.91</v>
      </c>
      <c r="J57" s="5">
        <v>46273.476388888892</v>
      </c>
      <c r="K57" s="6">
        <v>4</v>
      </c>
    </row>
    <row r="58" spans="1:11" ht="13" x14ac:dyDescent="0.15">
      <c r="A58" s="5">
        <v>46299.541666666664</v>
      </c>
      <c r="B58" s="1" t="s">
        <v>40</v>
      </c>
      <c r="C58" s="1" t="s">
        <v>51</v>
      </c>
      <c r="D58" s="1">
        <v>2.36</v>
      </c>
      <c r="E58" s="1">
        <v>1.62</v>
      </c>
      <c r="F58" s="1">
        <v>3</v>
      </c>
      <c r="G58" s="1">
        <v>1.91</v>
      </c>
      <c r="H58" s="1">
        <v>-3</v>
      </c>
      <c r="I58" s="1">
        <v>1.91</v>
      </c>
      <c r="J58" s="5">
        <v>46273.476388888892</v>
      </c>
      <c r="K58" s="6">
        <v>4</v>
      </c>
    </row>
    <row r="59" spans="1:11" ht="13" x14ac:dyDescent="0.15">
      <c r="A59" s="5">
        <v>46299.541666666664</v>
      </c>
      <c r="B59" s="1" t="s">
        <v>67</v>
      </c>
      <c r="C59" s="1" t="s">
        <v>49</v>
      </c>
      <c r="D59" s="1">
        <v>4.3</v>
      </c>
      <c r="E59" s="1">
        <v>1.24</v>
      </c>
      <c r="F59" s="1">
        <v>8.5</v>
      </c>
      <c r="G59" s="1">
        <v>1.91</v>
      </c>
      <c r="H59" s="1">
        <v>-8.5</v>
      </c>
      <c r="I59" s="1">
        <v>1.91</v>
      </c>
      <c r="J59" s="5">
        <v>46273.476388888892</v>
      </c>
      <c r="K59" s="6">
        <v>4</v>
      </c>
    </row>
    <row r="60" spans="1:11" ht="13" x14ac:dyDescent="0.15">
      <c r="A60" s="5">
        <v>46299.541666666664</v>
      </c>
      <c r="B60" s="1" t="s">
        <v>12</v>
      </c>
      <c r="C60" s="1" t="s">
        <v>47</v>
      </c>
      <c r="D60" s="1">
        <v>2.14</v>
      </c>
      <c r="E60" s="1">
        <v>1.74</v>
      </c>
      <c r="F60" s="1">
        <v>2.5</v>
      </c>
      <c r="G60" s="1">
        <v>1.91</v>
      </c>
      <c r="H60" s="1">
        <v>-2.5</v>
      </c>
      <c r="I60" s="1">
        <v>1.91</v>
      </c>
      <c r="J60" s="5">
        <v>46273.476388888892</v>
      </c>
      <c r="K60" s="6">
        <v>4</v>
      </c>
    </row>
    <row r="61" spans="1:11" ht="13" x14ac:dyDescent="0.15">
      <c r="A61" s="5">
        <v>46299.541666666664</v>
      </c>
      <c r="B61" s="1" t="s">
        <v>43</v>
      </c>
      <c r="C61" s="1" t="s">
        <v>52</v>
      </c>
      <c r="D61" s="1">
        <v>2.14</v>
      </c>
      <c r="E61" s="1">
        <v>1.74</v>
      </c>
      <c r="F61" s="1">
        <v>2.5</v>
      </c>
      <c r="G61" s="1">
        <v>1.91</v>
      </c>
      <c r="H61" s="1">
        <v>-2.5</v>
      </c>
      <c r="I61" s="1">
        <v>1.91</v>
      </c>
      <c r="J61" s="5">
        <v>46273.476388888892</v>
      </c>
      <c r="K61" s="6">
        <v>4</v>
      </c>
    </row>
    <row r="62" spans="1:11" ht="13" x14ac:dyDescent="0.15">
      <c r="A62" s="5">
        <v>46299.541666666664</v>
      </c>
      <c r="B62" s="1" t="s">
        <v>50</v>
      </c>
      <c r="C62" s="1" t="s">
        <v>61</v>
      </c>
      <c r="D62" s="1">
        <v>1.8</v>
      </c>
      <c r="E62" s="1">
        <v>2.0499999999999998</v>
      </c>
      <c r="F62" s="1">
        <v>-1.5</v>
      </c>
      <c r="G62" s="1">
        <v>1.91</v>
      </c>
      <c r="H62" s="1">
        <v>1.5</v>
      </c>
      <c r="I62" s="1">
        <v>1.91</v>
      </c>
      <c r="J62" s="5">
        <v>46273.476388888892</v>
      </c>
      <c r="K62" s="6">
        <v>4</v>
      </c>
    </row>
    <row r="63" spans="1:11" ht="13" x14ac:dyDescent="0.15">
      <c r="A63" s="5">
        <v>46299.541666666664</v>
      </c>
      <c r="B63" s="1" t="s">
        <v>41</v>
      </c>
      <c r="C63" s="1" t="s">
        <v>48</v>
      </c>
      <c r="D63" s="1">
        <v>1.8</v>
      </c>
      <c r="E63" s="1">
        <v>2.0499999999999998</v>
      </c>
      <c r="F63" s="1">
        <v>-1.5</v>
      </c>
      <c r="G63" s="1">
        <v>1.91</v>
      </c>
      <c r="H63" s="1">
        <v>1.5</v>
      </c>
      <c r="I63" s="1">
        <v>1.91</v>
      </c>
      <c r="J63" s="5">
        <v>46273.476388888892</v>
      </c>
      <c r="K63" s="6">
        <v>4</v>
      </c>
    </row>
    <row r="64" spans="1:11" ht="13" x14ac:dyDescent="0.15">
      <c r="A64" s="5">
        <v>46299.670138888891</v>
      </c>
      <c r="B64" s="1" t="s">
        <v>70</v>
      </c>
      <c r="C64" s="1" t="s">
        <v>37</v>
      </c>
      <c r="D64" s="1">
        <v>4.2</v>
      </c>
      <c r="E64" s="1">
        <v>1.24</v>
      </c>
      <c r="F64" s="1">
        <v>7.5</v>
      </c>
      <c r="G64" s="1">
        <v>1.91</v>
      </c>
      <c r="H64" s="1">
        <v>-7.5</v>
      </c>
      <c r="I64" s="1">
        <v>1.91</v>
      </c>
      <c r="J64" s="5">
        <v>46273.476388888892</v>
      </c>
      <c r="K64" s="6">
        <v>4</v>
      </c>
    </row>
    <row r="65" spans="1:11" ht="13" x14ac:dyDescent="0.15">
      <c r="A65" s="5">
        <v>46299.684027777781</v>
      </c>
      <c r="B65" s="1" t="s">
        <v>42</v>
      </c>
      <c r="C65" s="1" t="s">
        <v>34</v>
      </c>
      <c r="D65" s="1">
        <v>2.14</v>
      </c>
      <c r="E65" s="1">
        <v>1.74</v>
      </c>
      <c r="F65" s="1">
        <v>2.5</v>
      </c>
      <c r="G65" s="1">
        <v>1.91</v>
      </c>
      <c r="H65" s="1">
        <v>-2.5</v>
      </c>
      <c r="I65" s="1">
        <v>1.91</v>
      </c>
      <c r="J65" s="5">
        <v>46273.476388888892</v>
      </c>
      <c r="K65" s="6">
        <v>4</v>
      </c>
    </row>
    <row r="66" spans="1:11" ht="13" x14ac:dyDescent="0.15">
      <c r="A66" s="5">
        <v>46299.684027777781</v>
      </c>
      <c r="B66" s="1" t="s">
        <v>46</v>
      </c>
      <c r="C66" s="1" t="s">
        <v>18</v>
      </c>
      <c r="D66" s="1">
        <v>1.4</v>
      </c>
      <c r="E66" s="1">
        <v>3.05</v>
      </c>
      <c r="F66" s="1">
        <v>-5.5</v>
      </c>
      <c r="G66" s="1">
        <v>1.91</v>
      </c>
      <c r="H66" s="1">
        <v>5.5</v>
      </c>
      <c r="I66" s="1">
        <v>1.91</v>
      </c>
      <c r="J66" s="5">
        <v>46273.476388888892</v>
      </c>
      <c r="K66" s="6">
        <v>4</v>
      </c>
    </row>
    <row r="67" spans="1:11" ht="13" x14ac:dyDescent="0.15">
      <c r="A67" s="5">
        <v>46299.684027777781</v>
      </c>
      <c r="B67" s="1" t="s">
        <v>2</v>
      </c>
      <c r="C67" s="1" t="s">
        <v>44</v>
      </c>
      <c r="D67" s="1">
        <v>2.4500000000000002</v>
      </c>
      <c r="E67" s="1">
        <v>1.57</v>
      </c>
      <c r="F67" s="1">
        <v>3</v>
      </c>
      <c r="G67" s="1">
        <v>1.95</v>
      </c>
      <c r="H67" s="1">
        <v>-3</v>
      </c>
      <c r="I67" s="1">
        <v>1.87</v>
      </c>
      <c r="J67" s="5">
        <v>46273.476388888892</v>
      </c>
      <c r="K67" s="6">
        <v>4</v>
      </c>
    </row>
    <row r="68" spans="1:11" ht="13" x14ac:dyDescent="0.15">
      <c r="A68" s="5">
        <v>46299.847222222219</v>
      </c>
      <c r="B68" s="1" t="s">
        <v>22</v>
      </c>
      <c r="C68" s="1" t="s">
        <v>64</v>
      </c>
      <c r="D68" s="1">
        <v>1.62</v>
      </c>
      <c r="E68" s="1">
        <v>2.36</v>
      </c>
      <c r="F68" s="1">
        <v>-3</v>
      </c>
      <c r="G68" s="1">
        <v>1.91</v>
      </c>
      <c r="H68" s="1">
        <v>3</v>
      </c>
      <c r="I68" s="1">
        <v>1.91</v>
      </c>
      <c r="J68" s="5">
        <v>46273.476388888892</v>
      </c>
      <c r="K68" s="6">
        <v>4</v>
      </c>
    </row>
    <row r="69" spans="1:11" ht="13" x14ac:dyDescent="0.15">
      <c r="A69" s="5">
        <v>46300.84375</v>
      </c>
      <c r="B69" s="1" t="s">
        <v>65</v>
      </c>
      <c r="C69" s="1" t="s">
        <v>63</v>
      </c>
      <c r="D69" s="1">
        <v>2.14</v>
      </c>
      <c r="E69" s="1">
        <v>1.74</v>
      </c>
      <c r="F69" s="1">
        <v>2.5</v>
      </c>
      <c r="G69" s="1">
        <v>1.91</v>
      </c>
      <c r="H69" s="1">
        <v>-2.5</v>
      </c>
      <c r="I69" s="1">
        <v>1.91</v>
      </c>
      <c r="J69" s="5">
        <v>46273.476388888892</v>
      </c>
      <c r="K69" s="6">
        <v>4</v>
      </c>
    </row>
    <row r="70" spans="1:11" ht="13" x14ac:dyDescent="0.15">
      <c r="A70" s="5">
        <v>46303.84375</v>
      </c>
      <c r="B70" s="1" t="s">
        <v>61</v>
      </c>
      <c r="C70" s="1" t="s">
        <v>43</v>
      </c>
      <c r="D70" s="1">
        <v>2.7</v>
      </c>
      <c r="E70" s="1">
        <v>1.49</v>
      </c>
      <c r="F70" s="1">
        <v>3.5</v>
      </c>
      <c r="G70" s="1">
        <v>1.91</v>
      </c>
      <c r="H70" s="1">
        <v>-3.5</v>
      </c>
      <c r="I70" s="1">
        <v>1.91</v>
      </c>
      <c r="J70" s="5">
        <v>46273.476388888892</v>
      </c>
      <c r="K70" s="6">
        <v>5</v>
      </c>
    </row>
    <row r="71" spans="1:11" ht="13" x14ac:dyDescent="0.15">
      <c r="A71" s="5">
        <v>46306.395833333336</v>
      </c>
      <c r="B71" s="1" t="s">
        <v>48</v>
      </c>
      <c r="C71" s="1" t="s">
        <v>12</v>
      </c>
      <c r="D71" s="1">
        <v>1.8</v>
      </c>
      <c r="E71" s="1">
        <v>2.0499999999999998</v>
      </c>
      <c r="F71" s="1">
        <v>-1.5</v>
      </c>
      <c r="G71" s="1">
        <v>1.91</v>
      </c>
      <c r="H71" s="1">
        <v>1.5</v>
      </c>
      <c r="I71" s="1">
        <v>1.91</v>
      </c>
      <c r="J71" s="5">
        <v>46273.476388888892</v>
      </c>
      <c r="K71" s="6">
        <v>5</v>
      </c>
    </row>
    <row r="72" spans="1:11" ht="13" x14ac:dyDescent="0.15">
      <c r="A72" s="5">
        <v>46306.541666666664</v>
      </c>
      <c r="B72" s="1" t="s">
        <v>47</v>
      </c>
      <c r="C72" s="1" t="s">
        <v>70</v>
      </c>
      <c r="D72" s="1">
        <v>1.37</v>
      </c>
      <c r="E72" s="1">
        <v>3.2</v>
      </c>
      <c r="F72" s="1">
        <v>-6</v>
      </c>
      <c r="G72" s="1">
        <v>1.91</v>
      </c>
      <c r="H72" s="1">
        <v>6</v>
      </c>
      <c r="I72" s="1">
        <v>1.91</v>
      </c>
      <c r="J72" s="5">
        <v>46273.476388888892</v>
      </c>
      <c r="K72" s="6">
        <v>5</v>
      </c>
    </row>
    <row r="73" spans="1:11" ht="13" x14ac:dyDescent="0.15">
      <c r="A73" s="5">
        <v>46306.541666666664</v>
      </c>
      <c r="B73" s="1" t="s">
        <v>68</v>
      </c>
      <c r="C73" s="1" t="s">
        <v>67</v>
      </c>
      <c r="D73" s="1">
        <v>2.1</v>
      </c>
      <c r="E73" s="1">
        <v>1.77</v>
      </c>
      <c r="F73" s="1">
        <v>1.5</v>
      </c>
      <c r="G73" s="1">
        <v>1.95</v>
      </c>
      <c r="H73" s="1">
        <v>-1.5</v>
      </c>
      <c r="I73" s="1">
        <v>1.87</v>
      </c>
      <c r="J73" s="5">
        <v>46273.476388888892</v>
      </c>
      <c r="K73" s="6">
        <v>5</v>
      </c>
    </row>
    <row r="74" spans="1:11" ht="13" x14ac:dyDescent="0.15">
      <c r="A74" s="5">
        <v>46306.541666666664</v>
      </c>
      <c r="B74" s="1" t="s">
        <v>52</v>
      </c>
      <c r="C74" s="1" t="s">
        <v>66</v>
      </c>
      <c r="D74" s="1">
        <v>1.52</v>
      </c>
      <c r="E74" s="1">
        <v>2.6</v>
      </c>
      <c r="F74" s="1">
        <v>-3.5</v>
      </c>
      <c r="G74" s="1">
        <v>1.91</v>
      </c>
      <c r="H74" s="1">
        <v>3.5</v>
      </c>
      <c r="I74" s="1">
        <v>1.91</v>
      </c>
      <c r="J74" s="5">
        <v>46273.476388888892</v>
      </c>
      <c r="K74" s="6">
        <v>5</v>
      </c>
    </row>
    <row r="75" spans="1:11" ht="13" x14ac:dyDescent="0.15">
      <c r="A75" s="5">
        <v>46306.541666666664</v>
      </c>
      <c r="B75" s="1" t="s">
        <v>45</v>
      </c>
      <c r="C75" s="1" t="s">
        <v>59</v>
      </c>
      <c r="D75" s="1">
        <v>2.2000000000000002</v>
      </c>
      <c r="E75" s="1">
        <v>1.7</v>
      </c>
      <c r="F75" s="1">
        <v>2.5</v>
      </c>
      <c r="G75" s="1">
        <v>1.91</v>
      </c>
      <c r="H75" s="1">
        <v>-2.5</v>
      </c>
      <c r="I75" s="1">
        <v>1.91</v>
      </c>
      <c r="J75" s="5">
        <v>46273.476388888892</v>
      </c>
      <c r="K75" s="6">
        <v>5</v>
      </c>
    </row>
    <row r="76" spans="1:11" ht="13" x14ac:dyDescent="0.15">
      <c r="A76" s="5">
        <v>46306.541666666664</v>
      </c>
      <c r="B76" s="1" t="s">
        <v>18</v>
      </c>
      <c r="C76" s="1" t="s">
        <v>40</v>
      </c>
      <c r="D76" s="1">
        <v>4.0999999999999996</v>
      </c>
      <c r="E76" s="1">
        <v>1.25</v>
      </c>
      <c r="F76" s="1">
        <v>8.5</v>
      </c>
      <c r="G76" s="1">
        <v>1.91</v>
      </c>
      <c r="H76" s="1">
        <v>-8.5</v>
      </c>
      <c r="I76" s="1">
        <v>1.91</v>
      </c>
      <c r="J76" s="5">
        <v>46273.476388888892</v>
      </c>
      <c r="K76" s="6">
        <v>5</v>
      </c>
    </row>
    <row r="77" spans="1:11" ht="13" x14ac:dyDescent="0.15">
      <c r="A77" s="5">
        <v>46306.541666666664</v>
      </c>
      <c r="B77" s="1" t="s">
        <v>37</v>
      </c>
      <c r="C77" s="1" t="s">
        <v>63</v>
      </c>
      <c r="D77" s="1">
        <v>1.8</v>
      </c>
      <c r="E77" s="1">
        <v>2.0499999999999998</v>
      </c>
      <c r="F77" s="1">
        <v>-1.5</v>
      </c>
      <c r="G77" s="1">
        <v>1.91</v>
      </c>
      <c r="H77" s="1">
        <v>1.5</v>
      </c>
      <c r="I77" s="1">
        <v>1.91</v>
      </c>
      <c r="J77" s="5">
        <v>46273.476388888892</v>
      </c>
      <c r="K77" s="6">
        <v>5</v>
      </c>
    </row>
    <row r="78" spans="1:11" ht="13" x14ac:dyDescent="0.15">
      <c r="A78" s="5">
        <v>46306.541666666664</v>
      </c>
      <c r="B78" s="1" t="s">
        <v>60</v>
      </c>
      <c r="C78" s="1" t="s">
        <v>62</v>
      </c>
      <c r="D78" s="1">
        <v>2.1</v>
      </c>
      <c r="E78" s="1">
        <v>1.77</v>
      </c>
      <c r="F78" s="1">
        <v>1.5</v>
      </c>
      <c r="G78" s="1">
        <v>1.95</v>
      </c>
      <c r="H78" s="1">
        <v>-1.5</v>
      </c>
      <c r="I78" s="1">
        <v>1.87</v>
      </c>
      <c r="J78" s="5">
        <v>46273.476388888892</v>
      </c>
      <c r="K78" s="6">
        <v>5</v>
      </c>
    </row>
    <row r="79" spans="1:11" ht="13" x14ac:dyDescent="0.15">
      <c r="A79" s="5">
        <v>46306.670138888891</v>
      </c>
      <c r="B79" s="1" t="s">
        <v>42</v>
      </c>
      <c r="C79" s="1" t="s">
        <v>2</v>
      </c>
      <c r="D79" s="1">
        <v>2.14</v>
      </c>
      <c r="E79" s="1">
        <v>1.74</v>
      </c>
      <c r="F79" s="1">
        <v>2.5</v>
      </c>
      <c r="G79" s="1">
        <v>1.91</v>
      </c>
      <c r="H79" s="1">
        <v>-2.5</v>
      </c>
      <c r="I79" s="1">
        <v>1.91</v>
      </c>
      <c r="J79" s="5">
        <v>46273.476388888892</v>
      </c>
      <c r="K79" s="6">
        <v>5</v>
      </c>
    </row>
    <row r="80" spans="1:11" ht="13" x14ac:dyDescent="0.15">
      <c r="A80" s="5">
        <v>46306.684027777781</v>
      </c>
      <c r="B80" s="1" t="s">
        <v>22</v>
      </c>
      <c r="C80" s="1" t="s">
        <v>69</v>
      </c>
      <c r="D80" s="1">
        <v>1.25</v>
      </c>
      <c r="E80" s="1">
        <v>4.0999999999999996</v>
      </c>
      <c r="F80" s="1">
        <v>-8.5</v>
      </c>
      <c r="G80" s="1">
        <v>1.91</v>
      </c>
      <c r="H80" s="1">
        <v>8.5</v>
      </c>
      <c r="I80" s="1">
        <v>1.91</v>
      </c>
      <c r="J80" s="5">
        <v>46273.476388888892</v>
      </c>
      <c r="K80" s="6">
        <v>5</v>
      </c>
    </row>
    <row r="81" spans="1:11" ht="13" x14ac:dyDescent="0.15">
      <c r="A81" s="5">
        <v>46306.684027777781</v>
      </c>
      <c r="B81" s="1" t="s">
        <v>49</v>
      </c>
      <c r="C81" s="1" t="s">
        <v>50</v>
      </c>
      <c r="D81" s="1">
        <v>2.4</v>
      </c>
      <c r="E81" s="1">
        <v>1.6</v>
      </c>
      <c r="F81" s="1">
        <v>3</v>
      </c>
      <c r="G81" s="1">
        <v>1.91</v>
      </c>
      <c r="H81" s="1">
        <v>-3</v>
      </c>
      <c r="I81" s="1">
        <v>1.91</v>
      </c>
      <c r="J81" s="5">
        <v>46273.476388888892</v>
      </c>
      <c r="K81" s="6">
        <v>5</v>
      </c>
    </row>
    <row r="82" spans="1:11" ht="13" x14ac:dyDescent="0.15">
      <c r="A82" s="5">
        <v>46306.684027777781</v>
      </c>
      <c r="B82" s="1" t="s">
        <v>34</v>
      </c>
      <c r="C82" s="1" t="s">
        <v>44</v>
      </c>
      <c r="D82" s="1">
        <v>2.7</v>
      </c>
      <c r="E82" s="1">
        <v>1.49</v>
      </c>
      <c r="F82" s="1">
        <v>3.5</v>
      </c>
      <c r="G82" s="1">
        <v>1.91</v>
      </c>
      <c r="H82" s="1">
        <v>-3.5</v>
      </c>
      <c r="I82" s="1">
        <v>1.91</v>
      </c>
      <c r="J82" s="5">
        <v>46273.476388888892</v>
      </c>
      <c r="K82" s="6">
        <v>5</v>
      </c>
    </row>
    <row r="83" spans="1:11" ht="13" x14ac:dyDescent="0.15">
      <c r="A83" s="5">
        <v>46306.847222222219</v>
      </c>
      <c r="B83" s="1" t="s">
        <v>15</v>
      </c>
      <c r="C83" s="1" t="s">
        <v>65</v>
      </c>
      <c r="D83" s="1">
        <v>1.49</v>
      </c>
      <c r="E83" s="1">
        <v>2.7</v>
      </c>
      <c r="F83" s="1">
        <v>-4.5</v>
      </c>
      <c r="G83" s="1">
        <v>1.91</v>
      </c>
      <c r="H83" s="1">
        <v>4.5</v>
      </c>
      <c r="I83" s="1">
        <v>1.91</v>
      </c>
      <c r="J83" s="5">
        <v>46273.476388888892</v>
      </c>
      <c r="K83" s="6">
        <v>5</v>
      </c>
    </row>
    <row r="84" spans="1:11" ht="13" x14ac:dyDescent="0.15">
      <c r="A84" s="5">
        <v>46307.84375</v>
      </c>
      <c r="B84" s="1" t="s">
        <v>51</v>
      </c>
      <c r="C84" s="1" t="s">
        <v>41</v>
      </c>
      <c r="D84" s="1">
        <v>2.4</v>
      </c>
      <c r="E84" s="1">
        <v>1.6</v>
      </c>
      <c r="F84" s="1">
        <v>3</v>
      </c>
      <c r="G84" s="1">
        <v>1.91</v>
      </c>
      <c r="H84" s="1">
        <v>-3</v>
      </c>
      <c r="I84" s="1">
        <v>1.91</v>
      </c>
      <c r="J84" s="5">
        <v>46273.476388888892</v>
      </c>
      <c r="K84" s="6">
        <v>5</v>
      </c>
    </row>
    <row r="85" spans="1:11" ht="13" x14ac:dyDescent="0.15">
      <c r="A85" s="5">
        <v>46310.84375</v>
      </c>
      <c r="B85" s="1" t="s">
        <v>44</v>
      </c>
      <c r="C85" s="1" t="s">
        <v>42</v>
      </c>
      <c r="D85" s="1">
        <v>1.77</v>
      </c>
      <c r="E85" s="1">
        <v>2.1</v>
      </c>
      <c r="F85" s="1">
        <v>-1.5</v>
      </c>
      <c r="G85" s="1">
        <v>1.87</v>
      </c>
      <c r="H85" s="1">
        <v>1.5</v>
      </c>
      <c r="I85" s="1">
        <v>1.95</v>
      </c>
      <c r="J85" s="5">
        <v>46273.476388888892</v>
      </c>
      <c r="K85" s="6">
        <v>6</v>
      </c>
    </row>
    <row r="86" spans="1:11" ht="13" x14ac:dyDescent="0.15">
      <c r="A86" s="5">
        <v>46313.395833333336</v>
      </c>
      <c r="B86" s="1" t="s">
        <v>52</v>
      </c>
      <c r="C86" s="1" t="s">
        <v>12</v>
      </c>
      <c r="D86" s="1">
        <v>1.93</v>
      </c>
      <c r="E86" s="1">
        <v>1.89</v>
      </c>
      <c r="F86" s="1">
        <v>1.5</v>
      </c>
      <c r="G86" s="1">
        <v>1.82</v>
      </c>
      <c r="H86" s="1">
        <v>-1.5</v>
      </c>
      <c r="I86" s="1">
        <v>2.02</v>
      </c>
      <c r="J86" s="5">
        <v>46273.476388888892</v>
      </c>
      <c r="K86" s="6">
        <v>6</v>
      </c>
    </row>
    <row r="87" spans="1:11" ht="13" x14ac:dyDescent="0.15">
      <c r="A87" s="5">
        <v>46313.541666666664</v>
      </c>
      <c r="B87" s="1" t="s">
        <v>49</v>
      </c>
      <c r="C87" s="1" t="s">
        <v>65</v>
      </c>
      <c r="D87" s="1">
        <v>1.65</v>
      </c>
      <c r="E87" s="1">
        <v>2.2999999999999998</v>
      </c>
      <c r="F87" s="1">
        <v>-3</v>
      </c>
      <c r="G87" s="1">
        <v>1.91</v>
      </c>
      <c r="H87" s="1">
        <v>3</v>
      </c>
      <c r="I87" s="1">
        <v>1.91</v>
      </c>
      <c r="J87" s="5">
        <v>46273.476388888892</v>
      </c>
      <c r="K87" s="6">
        <v>6</v>
      </c>
    </row>
    <row r="88" spans="1:11" ht="13" x14ac:dyDescent="0.15">
      <c r="A88" s="5">
        <v>46313.541666666664</v>
      </c>
      <c r="B88" s="1" t="s">
        <v>15</v>
      </c>
      <c r="C88" s="1" t="s">
        <v>68</v>
      </c>
      <c r="D88" s="1">
        <v>1.4</v>
      </c>
      <c r="E88" s="1">
        <v>3.05</v>
      </c>
      <c r="F88" s="1">
        <v>-6.5</v>
      </c>
      <c r="G88" s="1">
        <v>1.91</v>
      </c>
      <c r="H88" s="1">
        <v>6.5</v>
      </c>
      <c r="I88" s="1">
        <v>1.91</v>
      </c>
      <c r="J88" s="5">
        <v>46273.476388888892</v>
      </c>
      <c r="K88" s="6">
        <v>6</v>
      </c>
    </row>
    <row r="89" spans="1:11" ht="13" x14ac:dyDescent="0.15">
      <c r="A89" s="5">
        <v>46313.541666666664</v>
      </c>
      <c r="B89" s="1" t="s">
        <v>64</v>
      </c>
      <c r="C89" s="1" t="s">
        <v>48</v>
      </c>
      <c r="D89" s="1">
        <v>3.25</v>
      </c>
      <c r="E89" s="1">
        <v>1.36</v>
      </c>
      <c r="F89" s="1">
        <v>6.5</v>
      </c>
      <c r="G89" s="1">
        <v>1.91</v>
      </c>
      <c r="H89" s="1">
        <v>-6.5</v>
      </c>
      <c r="I89" s="1">
        <v>1.91</v>
      </c>
      <c r="J89" s="5">
        <v>46273.476388888892</v>
      </c>
      <c r="K89" s="6">
        <v>6</v>
      </c>
    </row>
    <row r="90" spans="1:11" ht="13" x14ac:dyDescent="0.15">
      <c r="A90" s="5">
        <v>46313.541666666664</v>
      </c>
      <c r="B90" s="1" t="s">
        <v>66</v>
      </c>
      <c r="C90" s="1" t="s">
        <v>45</v>
      </c>
      <c r="D90" s="1">
        <v>2.64</v>
      </c>
      <c r="E90" s="1">
        <v>1.51</v>
      </c>
      <c r="F90" s="1">
        <v>3.5</v>
      </c>
      <c r="G90" s="1">
        <v>1.91</v>
      </c>
      <c r="H90" s="1">
        <v>-3.5</v>
      </c>
      <c r="I90" s="1">
        <v>1.91</v>
      </c>
      <c r="J90" s="5">
        <v>46273.476388888892</v>
      </c>
      <c r="K90" s="6">
        <v>6</v>
      </c>
    </row>
    <row r="91" spans="1:11" ht="13" x14ac:dyDescent="0.15">
      <c r="A91" s="5">
        <v>46313.541666666664</v>
      </c>
      <c r="B91" s="1" t="s">
        <v>67</v>
      </c>
      <c r="C91" s="1" t="s">
        <v>40</v>
      </c>
      <c r="D91" s="1">
        <v>4.4000000000000004</v>
      </c>
      <c r="E91" s="1">
        <v>1.23</v>
      </c>
      <c r="F91" s="1">
        <v>9.5</v>
      </c>
      <c r="G91" s="1">
        <v>1.91</v>
      </c>
      <c r="H91" s="1">
        <v>-9.5</v>
      </c>
      <c r="I91" s="1">
        <v>1.91</v>
      </c>
      <c r="J91" s="5">
        <v>46273.476388888892</v>
      </c>
      <c r="K91" s="6">
        <v>6</v>
      </c>
    </row>
    <row r="92" spans="1:11" ht="13" x14ac:dyDescent="0.15">
      <c r="A92" s="5">
        <v>46313.541666666664</v>
      </c>
      <c r="B92" s="1" t="s">
        <v>63</v>
      </c>
      <c r="C92" s="1" t="s">
        <v>60</v>
      </c>
      <c r="D92" s="1">
        <v>2.2000000000000002</v>
      </c>
      <c r="E92" s="1">
        <v>1.7</v>
      </c>
      <c r="F92" s="1">
        <v>2.5</v>
      </c>
      <c r="G92" s="1">
        <v>1.91</v>
      </c>
      <c r="H92" s="1">
        <v>-2.5</v>
      </c>
      <c r="I92" s="1">
        <v>1.91</v>
      </c>
      <c r="J92" s="5">
        <v>46273.476388888892</v>
      </c>
      <c r="K92" s="6">
        <v>6</v>
      </c>
    </row>
    <row r="93" spans="1:11" ht="13" x14ac:dyDescent="0.15">
      <c r="A93" s="5">
        <v>46313.541666666664</v>
      </c>
      <c r="B93" s="1" t="s">
        <v>59</v>
      </c>
      <c r="C93" s="1" t="s">
        <v>61</v>
      </c>
      <c r="D93" s="1">
        <v>2.0499999999999998</v>
      </c>
      <c r="E93" s="1">
        <v>1.8</v>
      </c>
      <c r="F93" s="1">
        <v>1.5</v>
      </c>
      <c r="G93" s="1">
        <v>1.91</v>
      </c>
      <c r="H93" s="1">
        <v>-1.5</v>
      </c>
      <c r="I93" s="1">
        <v>1.91</v>
      </c>
      <c r="J93" s="5">
        <v>46273.476388888892</v>
      </c>
      <c r="K93" s="6">
        <v>6</v>
      </c>
    </row>
    <row r="94" spans="1:11" ht="13" x14ac:dyDescent="0.15">
      <c r="A94" s="5">
        <v>46313.670138888891</v>
      </c>
      <c r="B94" s="1" t="s">
        <v>69</v>
      </c>
      <c r="C94" s="1" t="s">
        <v>41</v>
      </c>
      <c r="D94" s="1">
        <v>6.25</v>
      </c>
      <c r="E94" s="1">
        <v>1.1299999999999999</v>
      </c>
      <c r="F94" s="1">
        <v>13.5</v>
      </c>
      <c r="G94" s="1">
        <v>1.93</v>
      </c>
      <c r="H94" s="1">
        <v>-13.5</v>
      </c>
      <c r="I94" s="1">
        <v>1.89</v>
      </c>
      <c r="J94" s="5">
        <v>46273.476388888892</v>
      </c>
      <c r="K94" s="6">
        <v>6</v>
      </c>
    </row>
    <row r="95" spans="1:11" ht="13" x14ac:dyDescent="0.15">
      <c r="A95" s="5">
        <v>46313.684027777781</v>
      </c>
      <c r="B95" s="1" t="s">
        <v>51</v>
      </c>
      <c r="C95" s="1" t="s">
        <v>18</v>
      </c>
      <c r="D95" s="1">
        <v>1.37</v>
      </c>
      <c r="E95" s="1">
        <v>3.2</v>
      </c>
      <c r="F95" s="1">
        <v>-6.5</v>
      </c>
      <c r="G95" s="1">
        <v>1.91</v>
      </c>
      <c r="H95" s="1">
        <v>6.5</v>
      </c>
      <c r="I95" s="1">
        <v>1.91</v>
      </c>
      <c r="J95" s="5">
        <v>46273.476388888892</v>
      </c>
      <c r="K95" s="6">
        <v>6</v>
      </c>
    </row>
    <row r="96" spans="1:11" ht="13" x14ac:dyDescent="0.15">
      <c r="A96" s="5">
        <v>46313.684027777781</v>
      </c>
      <c r="B96" s="1" t="s">
        <v>2</v>
      </c>
      <c r="C96" s="1" t="s">
        <v>46</v>
      </c>
      <c r="D96" s="1">
        <v>2.2000000000000002</v>
      </c>
      <c r="E96" s="1">
        <v>1.7</v>
      </c>
      <c r="F96" s="1">
        <v>2.5</v>
      </c>
      <c r="G96" s="1">
        <v>1.91</v>
      </c>
      <c r="H96" s="1">
        <v>-2.5</v>
      </c>
      <c r="I96" s="1">
        <v>1.91</v>
      </c>
      <c r="J96" s="5">
        <v>46273.476388888892</v>
      </c>
      <c r="K96" s="6">
        <v>6</v>
      </c>
    </row>
    <row r="97" spans="1:11" ht="13" x14ac:dyDescent="0.15">
      <c r="A97" s="5">
        <v>46313.847222222219</v>
      </c>
      <c r="B97" s="1" t="s">
        <v>43</v>
      </c>
      <c r="C97" s="1" t="s">
        <v>50</v>
      </c>
      <c r="D97" s="1">
        <v>2.4</v>
      </c>
      <c r="E97" s="1">
        <v>1.6</v>
      </c>
      <c r="F97" s="1">
        <v>3</v>
      </c>
      <c r="G97" s="1">
        <v>1.91</v>
      </c>
      <c r="H97" s="1">
        <v>-3</v>
      </c>
      <c r="I97" s="1">
        <v>1.91</v>
      </c>
      <c r="J97" s="5">
        <v>46273.476388888892</v>
      </c>
      <c r="K97" s="6">
        <v>6</v>
      </c>
    </row>
    <row r="98" spans="1:11" ht="13" x14ac:dyDescent="0.15">
      <c r="A98" s="5">
        <v>46314.84375</v>
      </c>
      <c r="B98" s="1" t="s">
        <v>62</v>
      </c>
      <c r="C98" s="1" t="s">
        <v>34</v>
      </c>
      <c r="D98" s="1">
        <v>3</v>
      </c>
      <c r="E98" s="1">
        <v>1.41</v>
      </c>
      <c r="F98" s="1">
        <v>5.5</v>
      </c>
      <c r="G98" s="1">
        <v>1.91</v>
      </c>
      <c r="H98" s="1">
        <v>-5.5</v>
      </c>
      <c r="I98" s="1">
        <v>1.91</v>
      </c>
      <c r="J98" s="5">
        <v>46273.476388888892</v>
      </c>
      <c r="K98" s="6">
        <v>6</v>
      </c>
    </row>
    <row r="99" spans="1:11" ht="13" x14ac:dyDescent="0.15">
      <c r="A99" s="5">
        <v>46317.84375</v>
      </c>
      <c r="B99" s="1" t="s">
        <v>40</v>
      </c>
      <c r="C99" s="1" t="s">
        <v>49</v>
      </c>
      <c r="D99" s="1">
        <v>2.0499999999999998</v>
      </c>
      <c r="E99" s="1">
        <v>1.8</v>
      </c>
      <c r="F99" s="1">
        <v>1.5</v>
      </c>
      <c r="G99" s="1">
        <v>1.91</v>
      </c>
      <c r="H99" s="1">
        <v>-1.5</v>
      </c>
      <c r="I99" s="1">
        <v>1.91</v>
      </c>
      <c r="J99" s="5">
        <v>46273.476388888892</v>
      </c>
      <c r="K99" s="6">
        <v>7</v>
      </c>
    </row>
    <row r="100" spans="1:11" ht="13" x14ac:dyDescent="0.15">
      <c r="A100" s="5">
        <v>46320.395833333336</v>
      </c>
      <c r="B100" s="1" t="s">
        <v>59</v>
      </c>
      <c r="C100" s="1" t="s">
        <v>63</v>
      </c>
      <c r="D100" s="1">
        <v>1.7</v>
      </c>
      <c r="E100" s="1">
        <v>2.2000000000000002</v>
      </c>
      <c r="F100" s="1">
        <v>-2.5</v>
      </c>
      <c r="G100" s="1">
        <v>1.91</v>
      </c>
      <c r="H100" s="1">
        <v>2.5</v>
      </c>
      <c r="I100" s="1">
        <v>1.91</v>
      </c>
      <c r="J100" s="5">
        <v>46273.476388888892</v>
      </c>
      <c r="K100" s="6">
        <v>7</v>
      </c>
    </row>
    <row r="101" spans="1:11" ht="13" x14ac:dyDescent="0.15">
      <c r="A101" s="5">
        <v>46320.541666666664</v>
      </c>
      <c r="B101" s="1" t="s">
        <v>34</v>
      </c>
      <c r="C101" s="1" t="s">
        <v>65</v>
      </c>
      <c r="D101" s="1">
        <v>1.44</v>
      </c>
      <c r="E101" s="1">
        <v>2.85</v>
      </c>
      <c r="F101" s="1">
        <v>-4.5</v>
      </c>
      <c r="G101" s="1">
        <v>1.91</v>
      </c>
      <c r="H101" s="1">
        <v>4.5</v>
      </c>
      <c r="I101" s="1">
        <v>1.91</v>
      </c>
      <c r="J101" s="5">
        <v>46273.476388888892</v>
      </c>
      <c r="K101" s="6">
        <v>7</v>
      </c>
    </row>
    <row r="102" spans="1:11" ht="13" x14ac:dyDescent="0.15">
      <c r="A102" s="5">
        <v>46320.541666666664</v>
      </c>
      <c r="B102" s="1" t="s">
        <v>47</v>
      </c>
      <c r="C102" s="1" t="s">
        <v>15</v>
      </c>
      <c r="D102" s="1">
        <v>2.54</v>
      </c>
      <c r="E102" s="1">
        <v>1.54</v>
      </c>
      <c r="F102" s="1">
        <v>3.5</v>
      </c>
      <c r="G102" s="1">
        <v>1.91</v>
      </c>
      <c r="H102" s="1">
        <v>-3.5</v>
      </c>
      <c r="I102" s="1">
        <v>1.91</v>
      </c>
      <c r="J102" s="5">
        <v>46273.476388888892</v>
      </c>
      <c r="K102" s="6">
        <v>7</v>
      </c>
    </row>
    <row r="103" spans="1:11" ht="13" x14ac:dyDescent="0.15">
      <c r="A103" s="5">
        <v>46320.541666666664</v>
      </c>
      <c r="B103" s="1" t="s">
        <v>61</v>
      </c>
      <c r="C103" s="1" t="s">
        <v>64</v>
      </c>
      <c r="D103" s="1">
        <v>1.8</v>
      </c>
      <c r="E103" s="1">
        <v>2.0499999999999998</v>
      </c>
      <c r="F103" s="1">
        <v>-1.5</v>
      </c>
      <c r="G103" s="1">
        <v>1.91</v>
      </c>
      <c r="H103" s="1">
        <v>1.5</v>
      </c>
      <c r="I103" s="1">
        <v>1.91</v>
      </c>
      <c r="J103" s="5">
        <v>46273.476388888892</v>
      </c>
      <c r="K103" s="6">
        <v>7</v>
      </c>
    </row>
    <row r="104" spans="1:11" ht="13" x14ac:dyDescent="0.15">
      <c r="A104" s="5">
        <v>46320.541666666664</v>
      </c>
      <c r="B104" s="1" t="s">
        <v>68</v>
      </c>
      <c r="C104" s="1" t="s">
        <v>66</v>
      </c>
      <c r="D104" s="1">
        <v>2.14</v>
      </c>
      <c r="E104" s="1">
        <v>1.74</v>
      </c>
      <c r="F104" s="1">
        <v>2.5</v>
      </c>
      <c r="G104" s="1">
        <v>1.91</v>
      </c>
      <c r="H104" s="1">
        <v>-2.5</v>
      </c>
      <c r="I104" s="1">
        <v>1.91</v>
      </c>
      <c r="J104" s="5">
        <v>46273.476388888892</v>
      </c>
      <c r="K104" s="6">
        <v>7</v>
      </c>
    </row>
    <row r="105" spans="1:11" ht="13" x14ac:dyDescent="0.15">
      <c r="A105" s="5">
        <v>46320.541666666664</v>
      </c>
      <c r="B105" s="1" t="s">
        <v>60</v>
      </c>
      <c r="C105" s="1" t="s">
        <v>52</v>
      </c>
      <c r="D105" s="1">
        <v>2.95</v>
      </c>
      <c r="E105" s="1">
        <v>1.42</v>
      </c>
      <c r="F105" s="1">
        <v>5.5</v>
      </c>
      <c r="G105" s="1">
        <v>1.91</v>
      </c>
      <c r="H105" s="1">
        <v>-5.5</v>
      </c>
      <c r="I105" s="1">
        <v>1.91</v>
      </c>
      <c r="J105" s="5">
        <v>46273.476388888892</v>
      </c>
      <c r="K105" s="6">
        <v>7</v>
      </c>
    </row>
    <row r="106" spans="1:11" ht="13" x14ac:dyDescent="0.15">
      <c r="A106" s="5">
        <v>46320.541666666664</v>
      </c>
      <c r="B106" s="1" t="s">
        <v>45</v>
      </c>
      <c r="C106" s="1" t="s">
        <v>37</v>
      </c>
      <c r="D106" s="1">
        <v>2.2000000000000002</v>
      </c>
      <c r="E106" s="1">
        <v>1.7</v>
      </c>
      <c r="F106" s="1">
        <v>2.5</v>
      </c>
      <c r="G106" s="1">
        <v>1.91</v>
      </c>
      <c r="H106" s="1">
        <v>-2.5</v>
      </c>
      <c r="I106" s="1">
        <v>1.91</v>
      </c>
      <c r="J106" s="5">
        <v>46273.476388888892</v>
      </c>
      <c r="K106" s="6">
        <v>7</v>
      </c>
    </row>
    <row r="107" spans="1:11" ht="13" x14ac:dyDescent="0.15">
      <c r="A107" s="5">
        <v>46320.541666666664</v>
      </c>
      <c r="B107" s="1" t="s">
        <v>70</v>
      </c>
      <c r="C107" s="1" t="s">
        <v>67</v>
      </c>
      <c r="D107" s="1">
        <v>2.2000000000000002</v>
      </c>
      <c r="E107" s="1">
        <v>1.7</v>
      </c>
      <c r="F107" s="1">
        <v>2.5</v>
      </c>
      <c r="G107" s="1">
        <v>1.91</v>
      </c>
      <c r="H107" s="1">
        <v>-2.5</v>
      </c>
      <c r="I107" s="1">
        <v>1.91</v>
      </c>
      <c r="J107" s="5">
        <v>46273.476388888892</v>
      </c>
      <c r="K107" s="6">
        <v>7</v>
      </c>
    </row>
    <row r="108" spans="1:11" ht="13" x14ac:dyDescent="0.15">
      <c r="A108" s="5">
        <v>46320.670138888891</v>
      </c>
      <c r="B108" s="1" t="s">
        <v>42</v>
      </c>
      <c r="C108" s="1" t="s">
        <v>69</v>
      </c>
      <c r="D108" s="1">
        <v>1.28</v>
      </c>
      <c r="E108" s="1">
        <v>3.85</v>
      </c>
      <c r="F108" s="1">
        <v>-7.5</v>
      </c>
      <c r="G108" s="1">
        <v>1.91</v>
      </c>
      <c r="H108" s="1">
        <v>7.5</v>
      </c>
      <c r="I108" s="1">
        <v>1.91</v>
      </c>
      <c r="J108" s="5">
        <v>46273.476388888892</v>
      </c>
      <c r="K108" s="6">
        <v>7</v>
      </c>
    </row>
    <row r="109" spans="1:11" ht="13" x14ac:dyDescent="0.15">
      <c r="A109" s="5">
        <v>46320.684027777781</v>
      </c>
      <c r="B109" s="1" t="s">
        <v>50</v>
      </c>
      <c r="C109" s="1" t="s">
        <v>22</v>
      </c>
      <c r="D109" s="1">
        <v>2.14</v>
      </c>
      <c r="E109" s="1">
        <v>1.74</v>
      </c>
      <c r="F109" s="1">
        <v>2.5</v>
      </c>
      <c r="G109" s="1">
        <v>1.91</v>
      </c>
      <c r="H109" s="1">
        <v>-2.5</v>
      </c>
      <c r="I109" s="1">
        <v>1.91</v>
      </c>
      <c r="J109" s="5">
        <v>46273.476388888892</v>
      </c>
      <c r="K109" s="6">
        <v>7</v>
      </c>
    </row>
    <row r="110" spans="1:11" ht="13" x14ac:dyDescent="0.15">
      <c r="A110" s="5">
        <v>46320.684027777781</v>
      </c>
      <c r="B110" s="1" t="s">
        <v>41</v>
      </c>
      <c r="C110" s="1" t="s">
        <v>18</v>
      </c>
      <c r="D110" s="1">
        <v>1.29</v>
      </c>
      <c r="E110" s="1">
        <v>3.75</v>
      </c>
      <c r="F110" s="1">
        <v>-7.5</v>
      </c>
      <c r="G110" s="1">
        <v>1.91</v>
      </c>
      <c r="H110" s="1">
        <v>7.5</v>
      </c>
      <c r="I110" s="1">
        <v>1.91</v>
      </c>
      <c r="J110" s="5">
        <v>46273.476388888892</v>
      </c>
      <c r="K110" s="6">
        <v>7</v>
      </c>
    </row>
    <row r="111" spans="1:11" ht="13" x14ac:dyDescent="0.15">
      <c r="A111" s="5">
        <v>46320.847222222219</v>
      </c>
      <c r="B111" s="1" t="s">
        <v>46</v>
      </c>
      <c r="C111" s="1" t="s">
        <v>44</v>
      </c>
      <c r="D111" s="1">
        <v>2.4500000000000002</v>
      </c>
      <c r="E111" s="1">
        <v>1.57</v>
      </c>
      <c r="F111" s="1">
        <v>3</v>
      </c>
      <c r="G111" s="1">
        <v>1.91</v>
      </c>
      <c r="H111" s="1">
        <v>-3</v>
      </c>
      <c r="I111" s="1">
        <v>1.91</v>
      </c>
      <c r="J111" s="5">
        <v>46273.476388888892</v>
      </c>
      <c r="K111" s="6">
        <v>7</v>
      </c>
    </row>
    <row r="112" spans="1:11" ht="13" x14ac:dyDescent="0.15">
      <c r="A112" s="5">
        <v>46321.84375</v>
      </c>
      <c r="B112" s="1" t="s">
        <v>43</v>
      </c>
      <c r="C112" s="1" t="s">
        <v>48</v>
      </c>
      <c r="D112" s="1">
        <v>2.36</v>
      </c>
      <c r="E112" s="1">
        <v>1.62</v>
      </c>
      <c r="F112" s="1">
        <v>3</v>
      </c>
      <c r="G112" s="1">
        <v>1.91</v>
      </c>
      <c r="H112" s="1">
        <v>-3</v>
      </c>
      <c r="I112" s="1">
        <v>1.91</v>
      </c>
      <c r="J112" s="5">
        <v>46273.476388888892</v>
      </c>
      <c r="K112" s="6">
        <v>7</v>
      </c>
    </row>
    <row r="113" spans="1:11" ht="13" x14ac:dyDescent="0.15">
      <c r="A113" s="5">
        <v>46324.84375</v>
      </c>
      <c r="B113" s="1" t="s">
        <v>64</v>
      </c>
      <c r="C113" s="1" t="s">
        <v>50</v>
      </c>
      <c r="D113" s="1">
        <v>3.75</v>
      </c>
      <c r="E113" s="1">
        <v>1.29</v>
      </c>
      <c r="F113" s="1">
        <v>7</v>
      </c>
      <c r="G113" s="1">
        <v>1.91</v>
      </c>
      <c r="H113" s="1">
        <v>-7</v>
      </c>
      <c r="I113" s="1">
        <v>1.91</v>
      </c>
      <c r="J113" s="5">
        <v>46273.476388888892</v>
      </c>
      <c r="K113" s="6">
        <v>8</v>
      </c>
    </row>
    <row r="114" spans="1:11" ht="13" x14ac:dyDescent="0.15">
      <c r="A114" s="5">
        <v>46327.541666666664</v>
      </c>
      <c r="B114" s="1" t="s">
        <v>69</v>
      </c>
      <c r="C114" s="1" t="s">
        <v>43</v>
      </c>
      <c r="D114" s="1">
        <v>5.0999999999999996</v>
      </c>
      <c r="E114" s="1">
        <v>1.18</v>
      </c>
      <c r="F114" s="1">
        <v>10.5</v>
      </c>
      <c r="G114" s="1">
        <v>1.91</v>
      </c>
      <c r="H114" s="1">
        <v>-10.5</v>
      </c>
      <c r="I114" s="1">
        <v>1.91</v>
      </c>
      <c r="J114" s="5">
        <v>46273.476388888892</v>
      </c>
      <c r="K114" s="6">
        <v>8</v>
      </c>
    </row>
    <row r="115" spans="1:11" ht="13" x14ac:dyDescent="0.15">
      <c r="A115" s="5">
        <v>46327.541666666664</v>
      </c>
      <c r="B115" s="1" t="s">
        <v>65</v>
      </c>
      <c r="C115" s="1" t="s">
        <v>61</v>
      </c>
      <c r="D115" s="1">
        <v>2.8</v>
      </c>
      <c r="E115" s="1">
        <v>1.46</v>
      </c>
      <c r="F115" s="1">
        <v>4.5</v>
      </c>
      <c r="G115" s="1">
        <v>1.91</v>
      </c>
      <c r="H115" s="1">
        <v>-4.5</v>
      </c>
      <c r="I115" s="1">
        <v>1.91</v>
      </c>
      <c r="J115" s="5">
        <v>46273.476388888892</v>
      </c>
      <c r="K115" s="6">
        <v>8</v>
      </c>
    </row>
    <row r="116" spans="1:11" ht="13" x14ac:dyDescent="0.15">
      <c r="A116" s="5">
        <v>46327.541666666664</v>
      </c>
      <c r="B116" s="1" t="s">
        <v>15</v>
      </c>
      <c r="C116" s="1" t="s">
        <v>51</v>
      </c>
      <c r="D116" s="1">
        <v>2.14</v>
      </c>
      <c r="E116" s="1">
        <v>1.74</v>
      </c>
      <c r="F116" s="1">
        <v>2.5</v>
      </c>
      <c r="G116" s="1">
        <v>1.91</v>
      </c>
      <c r="H116" s="1">
        <v>-2.5</v>
      </c>
      <c r="I116" s="1">
        <v>1.91</v>
      </c>
      <c r="J116" s="5">
        <v>46273.476388888892</v>
      </c>
      <c r="K116" s="6">
        <v>8</v>
      </c>
    </row>
    <row r="117" spans="1:11" ht="13" x14ac:dyDescent="0.15">
      <c r="A117" s="5">
        <v>46327.541666666664</v>
      </c>
      <c r="B117" s="1" t="s">
        <v>66</v>
      </c>
      <c r="C117" s="1" t="s">
        <v>47</v>
      </c>
      <c r="D117" s="1">
        <v>3.35</v>
      </c>
      <c r="E117" s="1">
        <v>1.34</v>
      </c>
      <c r="F117" s="1">
        <v>6.5</v>
      </c>
      <c r="G117" s="1">
        <v>1.91</v>
      </c>
      <c r="H117" s="1">
        <v>-6.5</v>
      </c>
      <c r="I117" s="1">
        <v>1.91</v>
      </c>
      <c r="J117" s="5">
        <v>46273.476388888892</v>
      </c>
      <c r="K117" s="6">
        <v>8</v>
      </c>
    </row>
    <row r="118" spans="1:11" ht="13" x14ac:dyDescent="0.15">
      <c r="A118" s="5">
        <v>46327.541666666664</v>
      </c>
      <c r="B118" s="1" t="s">
        <v>68</v>
      </c>
      <c r="C118" s="1" t="s">
        <v>59</v>
      </c>
      <c r="D118" s="1">
        <v>3.15</v>
      </c>
      <c r="E118" s="1">
        <v>1.38</v>
      </c>
      <c r="F118" s="1">
        <v>6</v>
      </c>
      <c r="G118" s="1">
        <v>1.91</v>
      </c>
      <c r="H118" s="1">
        <v>-6</v>
      </c>
      <c r="I118" s="1">
        <v>1.91</v>
      </c>
      <c r="J118" s="5">
        <v>46273.476388888892</v>
      </c>
      <c r="K118" s="6">
        <v>8</v>
      </c>
    </row>
    <row r="119" spans="1:11" ht="13" x14ac:dyDescent="0.15">
      <c r="A119" s="5">
        <v>46327.541666666664</v>
      </c>
      <c r="B119" s="1" t="s">
        <v>37</v>
      </c>
      <c r="C119" s="1" t="s">
        <v>22</v>
      </c>
      <c r="D119" s="1">
        <v>2.85</v>
      </c>
      <c r="E119" s="1">
        <v>1.44</v>
      </c>
      <c r="F119" s="1">
        <v>4.5</v>
      </c>
      <c r="G119" s="1">
        <v>1.91</v>
      </c>
      <c r="H119" s="1">
        <v>-4.5</v>
      </c>
      <c r="I119" s="1">
        <v>1.91</v>
      </c>
      <c r="J119" s="5">
        <v>46273.476388888892</v>
      </c>
      <c r="K119" s="6">
        <v>8</v>
      </c>
    </row>
    <row r="120" spans="1:11" ht="13" x14ac:dyDescent="0.15">
      <c r="A120" s="5">
        <v>46327.541666666664</v>
      </c>
      <c r="B120" s="1" t="s">
        <v>45</v>
      </c>
      <c r="C120" s="1" t="s">
        <v>12</v>
      </c>
      <c r="D120" s="1">
        <v>2.85</v>
      </c>
      <c r="E120" s="1">
        <v>1.44</v>
      </c>
      <c r="F120" s="1">
        <v>4.5</v>
      </c>
      <c r="G120" s="1">
        <v>1.91</v>
      </c>
      <c r="H120" s="1">
        <v>-4.5</v>
      </c>
      <c r="I120" s="1">
        <v>1.91</v>
      </c>
      <c r="J120" s="5">
        <v>46273.476388888892</v>
      </c>
      <c r="K120" s="6">
        <v>8</v>
      </c>
    </row>
    <row r="121" spans="1:11" ht="13" x14ac:dyDescent="0.15">
      <c r="A121" s="5">
        <v>46327.541666666664</v>
      </c>
      <c r="B121" s="1" t="s">
        <v>18</v>
      </c>
      <c r="C121" s="1" t="s">
        <v>67</v>
      </c>
      <c r="D121" s="1">
        <v>2.0499999999999998</v>
      </c>
      <c r="E121" s="1">
        <v>1.8</v>
      </c>
      <c r="F121" s="1">
        <v>1.5</v>
      </c>
      <c r="G121" s="1">
        <v>1.91</v>
      </c>
      <c r="H121" s="1">
        <v>-1.5</v>
      </c>
      <c r="I121" s="1">
        <v>1.91</v>
      </c>
      <c r="J121" s="5">
        <v>46273.476388888892</v>
      </c>
      <c r="K121" s="6">
        <v>8</v>
      </c>
    </row>
    <row r="122" spans="1:11" ht="13" x14ac:dyDescent="0.15">
      <c r="A122" s="5">
        <v>46327.670138888891</v>
      </c>
      <c r="B122" s="1" t="s">
        <v>2</v>
      </c>
      <c r="C122" s="1" t="s">
        <v>41</v>
      </c>
      <c r="D122" s="1">
        <v>2.64</v>
      </c>
      <c r="E122" s="1">
        <v>1.51</v>
      </c>
      <c r="F122" s="1">
        <v>4.5</v>
      </c>
      <c r="G122" s="1">
        <v>1.87</v>
      </c>
      <c r="H122" s="1">
        <v>-4.5</v>
      </c>
      <c r="I122" s="1">
        <v>1.95</v>
      </c>
      <c r="J122" s="5">
        <v>46273.476388888892</v>
      </c>
      <c r="K122" s="6">
        <v>8</v>
      </c>
    </row>
    <row r="123" spans="1:11" ht="13" x14ac:dyDescent="0.15">
      <c r="A123" s="5">
        <v>46327.684027777781</v>
      </c>
      <c r="B123" s="1" t="s">
        <v>46</v>
      </c>
      <c r="C123" s="1" t="s">
        <v>42</v>
      </c>
      <c r="D123" s="1">
        <v>2.0499999999999998</v>
      </c>
      <c r="E123" s="1">
        <v>1.8</v>
      </c>
      <c r="F123" s="1">
        <v>1.5</v>
      </c>
      <c r="G123" s="1">
        <v>1.91</v>
      </c>
      <c r="H123" s="1">
        <v>-1.5</v>
      </c>
      <c r="I123" s="1">
        <v>1.91</v>
      </c>
      <c r="J123" s="5">
        <v>46273.476388888892</v>
      </c>
      <c r="K123" s="6">
        <v>8</v>
      </c>
    </row>
    <row r="124" spans="1:11" ht="13" x14ac:dyDescent="0.15">
      <c r="A124" s="5">
        <v>46327.684027777781</v>
      </c>
      <c r="B124" s="1" t="s">
        <v>40</v>
      </c>
      <c r="C124" s="1" t="s">
        <v>70</v>
      </c>
      <c r="D124" s="1">
        <v>1.28</v>
      </c>
      <c r="E124" s="1">
        <v>3.8</v>
      </c>
      <c r="F124" s="1">
        <v>-7</v>
      </c>
      <c r="G124" s="1">
        <v>1.91</v>
      </c>
      <c r="H124" s="1">
        <v>7</v>
      </c>
      <c r="I124" s="1">
        <v>1.91</v>
      </c>
      <c r="J124" s="5">
        <v>46273.476388888892</v>
      </c>
      <c r="K124" s="6">
        <v>8</v>
      </c>
    </row>
    <row r="125" spans="1:11" ht="13" x14ac:dyDescent="0.15">
      <c r="A125" s="5">
        <v>46327.847222222219</v>
      </c>
      <c r="B125" s="1" t="s">
        <v>48</v>
      </c>
      <c r="C125" s="1" t="s">
        <v>62</v>
      </c>
      <c r="D125" s="1">
        <v>1.8</v>
      </c>
      <c r="E125" s="1">
        <v>2.0499999999999998</v>
      </c>
      <c r="F125" s="1">
        <v>-1.5</v>
      </c>
      <c r="G125" s="1">
        <v>1.91</v>
      </c>
      <c r="H125" s="1">
        <v>1.5</v>
      </c>
      <c r="I125" s="1">
        <v>1.91</v>
      </c>
      <c r="J125" s="5">
        <v>46273.476388888892</v>
      </c>
      <c r="K125" s="6">
        <v>8</v>
      </c>
    </row>
    <row r="126" spans="1:11" ht="13" x14ac:dyDescent="0.15">
      <c r="A126" s="5">
        <v>46328.847222222219</v>
      </c>
      <c r="B126" s="1" t="s">
        <v>49</v>
      </c>
      <c r="C126" s="1" t="s">
        <v>44</v>
      </c>
      <c r="D126" s="1">
        <v>2.8</v>
      </c>
      <c r="E126" s="1">
        <v>1.46</v>
      </c>
      <c r="F126" s="1">
        <v>4.5</v>
      </c>
      <c r="G126" s="1">
        <v>1.91</v>
      </c>
      <c r="H126" s="1">
        <v>-4.5</v>
      </c>
      <c r="I126" s="1">
        <v>1.91</v>
      </c>
      <c r="J126" s="5">
        <v>46273.476388888892</v>
      </c>
      <c r="K126" s="6">
        <v>8</v>
      </c>
    </row>
    <row r="127" spans="1:11" ht="13" x14ac:dyDescent="0.15">
      <c r="A127" s="5">
        <v>46331.84375</v>
      </c>
      <c r="B127" s="1" t="s">
        <v>12</v>
      </c>
      <c r="C127" s="1" t="s">
        <v>15</v>
      </c>
      <c r="D127" s="1">
        <v>2.7</v>
      </c>
      <c r="E127" s="1">
        <v>1.49</v>
      </c>
      <c r="F127" s="1">
        <v>4.5</v>
      </c>
      <c r="G127" s="1">
        <v>1.91</v>
      </c>
      <c r="H127" s="1">
        <v>-4.5</v>
      </c>
      <c r="I127" s="1">
        <v>1.91</v>
      </c>
      <c r="J127" s="5">
        <v>46273.476388888892</v>
      </c>
      <c r="K127" s="6">
        <v>9</v>
      </c>
    </row>
    <row r="128" spans="1:11" ht="13" x14ac:dyDescent="0.15">
      <c r="A128" s="5">
        <v>46334.395833333336</v>
      </c>
      <c r="B128" s="1" t="s">
        <v>47</v>
      </c>
      <c r="C128" s="1" t="s">
        <v>65</v>
      </c>
      <c r="D128" s="1">
        <v>1.43</v>
      </c>
      <c r="E128" s="1">
        <v>2.9</v>
      </c>
      <c r="F128" s="1">
        <v>-5.5</v>
      </c>
      <c r="G128" s="1">
        <v>1.91</v>
      </c>
      <c r="H128" s="1">
        <v>5.5</v>
      </c>
      <c r="I128" s="1">
        <v>1.91</v>
      </c>
      <c r="J128" s="5">
        <v>46273.476388888892</v>
      </c>
      <c r="K128" s="6">
        <v>9</v>
      </c>
    </row>
    <row r="129" spans="1:11" ht="13" x14ac:dyDescent="0.15">
      <c r="A129" s="5">
        <v>46334.541666666664</v>
      </c>
      <c r="B129" s="1" t="s">
        <v>42</v>
      </c>
      <c r="C129" s="1" t="s">
        <v>64</v>
      </c>
      <c r="D129" s="1">
        <v>1.62</v>
      </c>
      <c r="E129" s="1">
        <v>2.36</v>
      </c>
      <c r="F129" s="1">
        <v>-3</v>
      </c>
      <c r="G129" s="1">
        <v>1.91</v>
      </c>
      <c r="H129" s="1">
        <v>3</v>
      </c>
      <c r="I129" s="1">
        <v>1.91</v>
      </c>
      <c r="J129" s="5">
        <v>46273.476388888892</v>
      </c>
      <c r="K129" s="6">
        <v>9</v>
      </c>
    </row>
    <row r="130" spans="1:11" ht="13" x14ac:dyDescent="0.15">
      <c r="A130" s="5">
        <v>46334.541666666664</v>
      </c>
      <c r="B130" s="1" t="s">
        <v>68</v>
      </c>
      <c r="C130" s="1" t="s">
        <v>63</v>
      </c>
      <c r="D130" s="1">
        <v>2.6</v>
      </c>
      <c r="E130" s="1">
        <v>1.52</v>
      </c>
      <c r="F130" s="1">
        <v>3.5</v>
      </c>
      <c r="G130" s="1">
        <v>1.95</v>
      </c>
      <c r="H130" s="1">
        <v>-3.5</v>
      </c>
      <c r="I130" s="1">
        <v>1.87</v>
      </c>
      <c r="J130" s="5">
        <v>46273.476388888892</v>
      </c>
      <c r="K130" s="6">
        <v>9</v>
      </c>
    </row>
    <row r="131" spans="1:11" ht="13" x14ac:dyDescent="0.15">
      <c r="A131" s="5">
        <v>46334.541666666664</v>
      </c>
      <c r="B131" s="1" t="s">
        <v>43</v>
      </c>
      <c r="C131" s="1" t="s">
        <v>45</v>
      </c>
      <c r="D131" s="1">
        <v>1.8</v>
      </c>
      <c r="E131" s="1">
        <v>2.0499999999999998</v>
      </c>
      <c r="F131" s="1">
        <v>-1.5</v>
      </c>
      <c r="G131" s="1">
        <v>1.91</v>
      </c>
      <c r="H131" s="1">
        <v>1.5</v>
      </c>
      <c r="I131" s="1">
        <v>1.91</v>
      </c>
      <c r="J131" s="5">
        <v>46273.476388888892</v>
      </c>
      <c r="K131" s="6">
        <v>9</v>
      </c>
    </row>
    <row r="132" spans="1:11" ht="13" x14ac:dyDescent="0.15">
      <c r="A132" s="5">
        <v>46334.541666666664</v>
      </c>
      <c r="B132" s="1" t="s">
        <v>22</v>
      </c>
      <c r="C132" s="1" t="s">
        <v>70</v>
      </c>
      <c r="D132" s="1">
        <v>1.36</v>
      </c>
      <c r="E132" s="1">
        <v>3.25</v>
      </c>
      <c r="F132" s="1">
        <v>-6.5</v>
      </c>
      <c r="G132" s="1">
        <v>1.91</v>
      </c>
      <c r="H132" s="1">
        <v>6.5</v>
      </c>
      <c r="I132" s="1">
        <v>1.91</v>
      </c>
      <c r="J132" s="5">
        <v>46273.476388888892</v>
      </c>
      <c r="K132" s="6">
        <v>9</v>
      </c>
    </row>
    <row r="133" spans="1:11" ht="13" x14ac:dyDescent="0.15">
      <c r="A133" s="5">
        <v>46334.541666666664</v>
      </c>
      <c r="B133" s="1" t="s">
        <v>67</v>
      </c>
      <c r="C133" s="1" t="s">
        <v>46</v>
      </c>
      <c r="D133" s="1">
        <v>4.5999999999999996</v>
      </c>
      <c r="E133" s="1">
        <v>1.21</v>
      </c>
      <c r="F133" s="1">
        <v>9.5</v>
      </c>
      <c r="G133" s="1">
        <v>1.91</v>
      </c>
      <c r="H133" s="1">
        <v>-9.5</v>
      </c>
      <c r="I133" s="1">
        <v>1.91</v>
      </c>
      <c r="J133" s="5">
        <v>46273.476388888892</v>
      </c>
      <c r="K133" s="6">
        <v>9</v>
      </c>
    </row>
    <row r="134" spans="1:11" ht="13" x14ac:dyDescent="0.15">
      <c r="A134" s="5">
        <v>46334.541666666664</v>
      </c>
      <c r="B134" s="1" t="s">
        <v>41</v>
      </c>
      <c r="C134" s="1" t="s">
        <v>62</v>
      </c>
      <c r="D134" s="1">
        <v>1.44</v>
      </c>
      <c r="E134" s="1">
        <v>2.85</v>
      </c>
      <c r="F134" s="1">
        <v>-4.5</v>
      </c>
      <c r="G134" s="1">
        <v>1.87</v>
      </c>
      <c r="H134" s="1">
        <v>4.5</v>
      </c>
      <c r="I134" s="1">
        <v>1.95</v>
      </c>
      <c r="J134" s="5">
        <v>46273.476388888892</v>
      </c>
      <c r="K134" s="6">
        <v>9</v>
      </c>
    </row>
    <row r="135" spans="1:11" ht="13" x14ac:dyDescent="0.15">
      <c r="A135" s="5">
        <v>46334.541666666664</v>
      </c>
      <c r="B135" s="1" t="s">
        <v>60</v>
      </c>
      <c r="C135" s="1" t="s">
        <v>48</v>
      </c>
      <c r="D135" s="1">
        <v>2.95</v>
      </c>
      <c r="E135" s="1">
        <v>1.42</v>
      </c>
      <c r="F135" s="1">
        <v>5.5</v>
      </c>
      <c r="G135" s="1">
        <v>1.91</v>
      </c>
      <c r="H135" s="1">
        <v>-5.5</v>
      </c>
      <c r="I135" s="1">
        <v>1.91</v>
      </c>
      <c r="J135" s="5">
        <v>46273.476388888892</v>
      </c>
      <c r="K135" s="6">
        <v>9</v>
      </c>
    </row>
    <row r="136" spans="1:11" ht="13" x14ac:dyDescent="0.15">
      <c r="A136" s="5">
        <v>46334.670138888891</v>
      </c>
      <c r="B136" s="1" t="s">
        <v>52</v>
      </c>
      <c r="C136" s="1" t="s">
        <v>2</v>
      </c>
      <c r="D136" s="1">
        <v>2.2000000000000002</v>
      </c>
      <c r="E136" s="1">
        <v>1.7</v>
      </c>
      <c r="F136" s="1">
        <v>2.5</v>
      </c>
      <c r="G136" s="1">
        <v>1.91</v>
      </c>
      <c r="H136" s="1">
        <v>-2.5</v>
      </c>
      <c r="I136" s="1">
        <v>1.91</v>
      </c>
      <c r="J136" s="5">
        <v>46273.476388888892</v>
      </c>
      <c r="K136" s="6">
        <v>9</v>
      </c>
    </row>
    <row r="137" spans="1:11" ht="13" x14ac:dyDescent="0.15">
      <c r="A137" s="5">
        <v>46334.670138888891</v>
      </c>
      <c r="B137" s="1" t="s">
        <v>18</v>
      </c>
      <c r="C137" s="1" t="s">
        <v>34</v>
      </c>
      <c r="D137" s="1">
        <v>4.3</v>
      </c>
      <c r="E137" s="1">
        <v>1.24</v>
      </c>
      <c r="F137" s="1">
        <v>8.5</v>
      </c>
      <c r="G137" s="1">
        <v>1.91</v>
      </c>
      <c r="H137" s="1">
        <v>-8.5</v>
      </c>
      <c r="I137" s="1">
        <v>1.91</v>
      </c>
      <c r="J137" s="5">
        <v>46273.476388888892</v>
      </c>
      <c r="K137" s="6">
        <v>9</v>
      </c>
    </row>
    <row r="138" spans="1:11" ht="13" x14ac:dyDescent="0.15">
      <c r="A138" s="5">
        <v>46334.684027777781</v>
      </c>
      <c r="B138" s="1" t="s">
        <v>69</v>
      </c>
      <c r="C138" s="1" t="s">
        <v>44</v>
      </c>
      <c r="D138" s="1">
        <v>6.75</v>
      </c>
      <c r="E138" s="1">
        <v>1.1200000000000001</v>
      </c>
      <c r="F138" s="1">
        <v>13.5</v>
      </c>
      <c r="G138" s="1">
        <v>1.91</v>
      </c>
      <c r="H138" s="1">
        <v>-13.5</v>
      </c>
      <c r="I138" s="1">
        <v>1.91</v>
      </c>
      <c r="J138" s="5">
        <v>46273.476388888892</v>
      </c>
      <c r="K138" s="6">
        <v>9</v>
      </c>
    </row>
    <row r="139" spans="1:11" ht="13" x14ac:dyDescent="0.15">
      <c r="A139" s="5">
        <v>46334.684027777781</v>
      </c>
      <c r="B139" s="1" t="s">
        <v>50</v>
      </c>
      <c r="C139" s="1" t="s">
        <v>40</v>
      </c>
      <c r="D139" s="1">
        <v>2.0499999999999998</v>
      </c>
      <c r="E139" s="1">
        <v>1.8</v>
      </c>
      <c r="F139" s="1">
        <v>1.5</v>
      </c>
      <c r="G139" s="1">
        <v>1.91</v>
      </c>
      <c r="H139" s="1">
        <v>-1.5</v>
      </c>
      <c r="I139" s="1">
        <v>1.91</v>
      </c>
      <c r="J139" s="5">
        <v>46273.476388888892</v>
      </c>
      <c r="K139" s="6">
        <v>9</v>
      </c>
    </row>
    <row r="140" spans="1:11" ht="13" x14ac:dyDescent="0.15">
      <c r="A140" s="5">
        <v>46334.847222222219</v>
      </c>
      <c r="B140" s="1" t="s">
        <v>61</v>
      </c>
      <c r="C140" s="1" t="s">
        <v>49</v>
      </c>
      <c r="D140" s="1">
        <v>2.6</v>
      </c>
      <c r="E140" s="1">
        <v>1.52</v>
      </c>
      <c r="F140" s="1">
        <v>3.5</v>
      </c>
      <c r="G140" s="1">
        <v>1.91</v>
      </c>
      <c r="H140" s="1">
        <v>-3.5</v>
      </c>
      <c r="I140" s="1">
        <v>1.91</v>
      </c>
      <c r="J140" s="5">
        <v>46273.476388888892</v>
      </c>
      <c r="K140" s="6">
        <v>9</v>
      </c>
    </row>
    <row r="141" spans="1:11" ht="13" x14ac:dyDescent="0.15">
      <c r="A141" s="5">
        <v>46335.84375</v>
      </c>
      <c r="B141" s="1" t="s">
        <v>51</v>
      </c>
      <c r="C141" s="1" t="s">
        <v>37</v>
      </c>
      <c r="D141" s="1">
        <v>1.59</v>
      </c>
      <c r="E141" s="1">
        <v>2.42</v>
      </c>
      <c r="F141" s="1">
        <v>-3</v>
      </c>
      <c r="G141" s="1">
        <v>1.91</v>
      </c>
      <c r="H141" s="1">
        <v>3</v>
      </c>
      <c r="I141" s="1">
        <v>1.91</v>
      </c>
      <c r="J141" s="5">
        <v>46273.476388888892</v>
      </c>
      <c r="K141" s="6">
        <v>9</v>
      </c>
    </row>
    <row r="142" spans="1:11" ht="13" x14ac:dyDescent="0.15">
      <c r="A142" s="5">
        <v>46338.84375</v>
      </c>
      <c r="B142" s="1" t="s">
        <v>62</v>
      </c>
      <c r="C142" s="1" t="s">
        <v>60</v>
      </c>
      <c r="D142" s="1">
        <v>2.0499999999999998</v>
      </c>
      <c r="E142" s="1">
        <v>1.8</v>
      </c>
      <c r="F142" s="1">
        <v>1.5</v>
      </c>
      <c r="G142" s="1">
        <v>1.91</v>
      </c>
      <c r="H142" s="1">
        <v>-1.5</v>
      </c>
      <c r="I142" s="1">
        <v>1.91</v>
      </c>
      <c r="J142" s="5">
        <v>46273.476388888892</v>
      </c>
      <c r="K142" s="6">
        <v>10</v>
      </c>
    </row>
    <row r="143" spans="1:11" ht="13" x14ac:dyDescent="0.15">
      <c r="A143" s="5">
        <v>46341.395833333336</v>
      </c>
      <c r="B143" s="1" t="s">
        <v>40</v>
      </c>
      <c r="C143" s="1" t="s">
        <v>22</v>
      </c>
      <c r="D143" s="1">
        <v>2.0499999999999998</v>
      </c>
      <c r="E143" s="1">
        <v>1.8</v>
      </c>
      <c r="F143" s="1">
        <v>1.5</v>
      </c>
      <c r="G143" s="1">
        <v>1.93</v>
      </c>
      <c r="H143" s="1">
        <v>-1.5</v>
      </c>
      <c r="I143" s="1">
        <v>1.89</v>
      </c>
      <c r="J143" s="5">
        <v>46273.476388888892</v>
      </c>
      <c r="K143" s="6">
        <v>10</v>
      </c>
    </row>
    <row r="144" spans="1:11" ht="13" x14ac:dyDescent="0.15">
      <c r="A144" s="5">
        <v>46341.541666666664</v>
      </c>
      <c r="B144" s="1" t="s">
        <v>46</v>
      </c>
      <c r="C144" s="1" t="s">
        <v>65</v>
      </c>
      <c r="D144" s="1">
        <v>1.44</v>
      </c>
      <c r="E144" s="1">
        <v>2.85</v>
      </c>
      <c r="F144" s="1">
        <v>-4.5</v>
      </c>
      <c r="G144" s="1">
        <v>1.91</v>
      </c>
      <c r="H144" s="1">
        <v>4.5</v>
      </c>
      <c r="I144" s="1">
        <v>1.91</v>
      </c>
      <c r="J144" s="5">
        <v>46273.476388888892</v>
      </c>
      <c r="K144" s="6">
        <v>10</v>
      </c>
    </row>
    <row r="145" spans="1:11" ht="13" x14ac:dyDescent="0.15">
      <c r="A145" s="5">
        <v>46341.541666666664</v>
      </c>
      <c r="B145" s="1" t="s">
        <v>51</v>
      </c>
      <c r="C145" s="1" t="s">
        <v>67</v>
      </c>
      <c r="D145" s="1">
        <v>1.29</v>
      </c>
      <c r="E145" s="1">
        <v>3.7</v>
      </c>
      <c r="F145" s="1">
        <v>-7</v>
      </c>
      <c r="G145" s="1">
        <v>1.87</v>
      </c>
      <c r="H145" s="1">
        <v>7</v>
      </c>
      <c r="I145" s="1">
        <v>1.95</v>
      </c>
      <c r="J145" s="5">
        <v>46273.476388888892</v>
      </c>
      <c r="K145" s="6">
        <v>10</v>
      </c>
    </row>
    <row r="146" spans="1:11" ht="13" x14ac:dyDescent="0.15">
      <c r="A146" s="5">
        <v>46341.541666666664</v>
      </c>
      <c r="B146" s="1" t="s">
        <v>64</v>
      </c>
      <c r="C146" s="1" t="s">
        <v>63</v>
      </c>
      <c r="D146" s="1">
        <v>1.98</v>
      </c>
      <c r="E146" s="1">
        <v>1.85</v>
      </c>
      <c r="F146" s="1">
        <v>1.5</v>
      </c>
      <c r="G146" s="1">
        <v>1.87</v>
      </c>
      <c r="H146" s="1">
        <v>-1.5</v>
      </c>
      <c r="I146" s="1">
        <v>1.95</v>
      </c>
      <c r="J146" s="5">
        <v>46273.476388888892</v>
      </c>
      <c r="K146" s="6">
        <v>10</v>
      </c>
    </row>
    <row r="147" spans="1:11" ht="13" x14ac:dyDescent="0.15">
      <c r="A147" s="5">
        <v>46341.541666666664</v>
      </c>
      <c r="B147" s="1" t="s">
        <v>52</v>
      </c>
      <c r="C147" s="1" t="s">
        <v>68</v>
      </c>
      <c r="D147" s="1">
        <v>1.49</v>
      </c>
      <c r="E147" s="1">
        <v>2.7</v>
      </c>
      <c r="F147" s="1">
        <v>-4.5</v>
      </c>
      <c r="G147" s="1">
        <v>1.91</v>
      </c>
      <c r="H147" s="1">
        <v>4.5</v>
      </c>
      <c r="I147" s="1">
        <v>1.91</v>
      </c>
      <c r="J147" s="5">
        <v>46273.476388888892</v>
      </c>
      <c r="K147" s="6">
        <v>10</v>
      </c>
    </row>
    <row r="148" spans="1:11" ht="13" x14ac:dyDescent="0.15">
      <c r="A148" s="5">
        <v>46341.541666666664</v>
      </c>
      <c r="B148" s="1" t="s">
        <v>37</v>
      </c>
      <c r="C148" s="1" t="s">
        <v>50</v>
      </c>
      <c r="D148" s="1">
        <v>3</v>
      </c>
      <c r="E148" s="1">
        <v>1.41</v>
      </c>
      <c r="F148" s="1">
        <v>4.5</v>
      </c>
      <c r="G148" s="1">
        <v>1.91</v>
      </c>
      <c r="H148" s="1">
        <v>-4.5</v>
      </c>
      <c r="I148" s="1">
        <v>1.91</v>
      </c>
      <c r="J148" s="5">
        <v>46273.476388888892</v>
      </c>
      <c r="K148" s="6">
        <v>10</v>
      </c>
    </row>
    <row r="149" spans="1:11" ht="13" x14ac:dyDescent="0.15">
      <c r="A149" s="5">
        <v>46341.541666666664</v>
      </c>
      <c r="B149" s="1" t="s">
        <v>70</v>
      </c>
      <c r="C149" s="1" t="s">
        <v>45</v>
      </c>
      <c r="D149" s="1">
        <v>3.5</v>
      </c>
      <c r="E149" s="1">
        <v>1.32</v>
      </c>
      <c r="F149" s="1">
        <v>6.5</v>
      </c>
      <c r="G149" s="1">
        <v>1.91</v>
      </c>
      <c r="H149" s="1">
        <v>-6.5</v>
      </c>
      <c r="I149" s="1">
        <v>1.91</v>
      </c>
      <c r="J149" s="5">
        <v>46273.476388888892</v>
      </c>
      <c r="K149" s="6">
        <v>10</v>
      </c>
    </row>
    <row r="150" spans="1:11" ht="13" x14ac:dyDescent="0.15">
      <c r="A150" s="5">
        <v>46341.541666666664</v>
      </c>
      <c r="B150" s="1" t="s">
        <v>12</v>
      </c>
      <c r="C150" s="1" t="s">
        <v>66</v>
      </c>
      <c r="D150" s="1">
        <v>1.74</v>
      </c>
      <c r="E150" s="1">
        <v>2.14</v>
      </c>
      <c r="F150" s="1">
        <v>-2.5</v>
      </c>
      <c r="G150" s="1">
        <v>1.91</v>
      </c>
      <c r="H150" s="1">
        <v>2.5</v>
      </c>
      <c r="I150" s="1">
        <v>1.91</v>
      </c>
      <c r="J150" s="5">
        <v>46273.476388888892</v>
      </c>
      <c r="K150" s="6">
        <v>10</v>
      </c>
    </row>
    <row r="151" spans="1:11" ht="13" x14ac:dyDescent="0.15">
      <c r="A151" s="5">
        <v>46341.670138888891</v>
      </c>
      <c r="B151" s="1" t="s">
        <v>41</v>
      </c>
      <c r="C151" s="1" t="s">
        <v>69</v>
      </c>
      <c r="D151" s="1">
        <v>1.21</v>
      </c>
      <c r="E151" s="1">
        <v>4.5999999999999996</v>
      </c>
      <c r="F151" s="1">
        <v>-10.5</v>
      </c>
      <c r="G151" s="1">
        <v>1.91</v>
      </c>
      <c r="H151" s="1">
        <v>10.5</v>
      </c>
      <c r="I151" s="1">
        <v>1.91</v>
      </c>
      <c r="J151" s="5">
        <v>46273.476388888892</v>
      </c>
      <c r="K151" s="6">
        <v>10</v>
      </c>
    </row>
    <row r="152" spans="1:11" ht="13" x14ac:dyDescent="0.15">
      <c r="A152" s="5">
        <v>46341.670138888891</v>
      </c>
      <c r="B152" s="1" t="s">
        <v>44</v>
      </c>
      <c r="C152" s="1" t="s">
        <v>18</v>
      </c>
      <c r="D152" s="1">
        <v>1.32</v>
      </c>
      <c r="E152" s="1">
        <v>3.5</v>
      </c>
      <c r="F152" s="1">
        <v>-7</v>
      </c>
      <c r="G152" s="1">
        <v>1.91</v>
      </c>
      <c r="H152" s="1">
        <v>7</v>
      </c>
      <c r="I152" s="1">
        <v>1.91</v>
      </c>
      <c r="J152" s="5">
        <v>46273.476388888892</v>
      </c>
      <c r="K152" s="6">
        <v>10</v>
      </c>
    </row>
    <row r="153" spans="1:11" ht="13" x14ac:dyDescent="0.15">
      <c r="A153" s="5">
        <v>46341.684027777781</v>
      </c>
      <c r="B153" s="1" t="s">
        <v>34</v>
      </c>
      <c r="C153" s="1" t="s">
        <v>43</v>
      </c>
      <c r="D153" s="1">
        <v>1.98</v>
      </c>
      <c r="E153" s="1">
        <v>1.85</v>
      </c>
      <c r="F153" s="1">
        <v>1.5</v>
      </c>
      <c r="G153" s="1">
        <v>1.87</v>
      </c>
      <c r="H153" s="1">
        <v>-1.5</v>
      </c>
      <c r="I153" s="1">
        <v>1.95</v>
      </c>
      <c r="J153" s="5">
        <v>46273.476388888892</v>
      </c>
      <c r="K153" s="6">
        <v>10</v>
      </c>
    </row>
    <row r="154" spans="1:11" ht="13" x14ac:dyDescent="0.15">
      <c r="A154" s="5">
        <v>46341.847222222219</v>
      </c>
      <c r="B154" s="1" t="s">
        <v>59</v>
      </c>
      <c r="C154" s="1" t="s">
        <v>47</v>
      </c>
      <c r="D154" s="1">
        <v>2.6</v>
      </c>
      <c r="E154" s="1">
        <v>1.52</v>
      </c>
      <c r="F154" s="1">
        <v>3.5</v>
      </c>
      <c r="G154" s="1">
        <v>1.91</v>
      </c>
      <c r="H154" s="1">
        <v>-3.5</v>
      </c>
      <c r="I154" s="1">
        <v>1.91</v>
      </c>
      <c r="J154" s="5">
        <v>46273.476388888892</v>
      </c>
      <c r="K154" s="6">
        <v>10</v>
      </c>
    </row>
    <row r="155" spans="1:11" ht="13" x14ac:dyDescent="0.15">
      <c r="A155" s="5">
        <v>46342.84375</v>
      </c>
      <c r="B155" s="1" t="s">
        <v>2</v>
      </c>
      <c r="C155" s="1" t="s">
        <v>15</v>
      </c>
      <c r="D155" s="1">
        <v>2.5</v>
      </c>
      <c r="E155" s="1">
        <v>1.56</v>
      </c>
      <c r="F155" s="1">
        <v>3.5</v>
      </c>
      <c r="G155" s="1">
        <v>1.91</v>
      </c>
      <c r="H155" s="1">
        <v>-3.5</v>
      </c>
      <c r="I155" s="1">
        <v>1.91</v>
      </c>
      <c r="J155" s="5">
        <v>46273.476388888892</v>
      </c>
      <c r="K155" s="6">
        <v>10</v>
      </c>
    </row>
    <row r="156" spans="1:11" ht="13" x14ac:dyDescent="0.15">
      <c r="A156" s="5">
        <v>46345.84375</v>
      </c>
      <c r="B156" s="1" t="s">
        <v>45</v>
      </c>
      <c r="C156" s="1" t="s">
        <v>52</v>
      </c>
      <c r="D156" s="1">
        <v>3</v>
      </c>
      <c r="E156" s="1">
        <v>1.41</v>
      </c>
      <c r="F156" s="1">
        <v>5.5</v>
      </c>
      <c r="G156" s="1">
        <v>1.91</v>
      </c>
      <c r="H156" s="1">
        <v>-5.5</v>
      </c>
      <c r="I156" s="1">
        <v>1.91</v>
      </c>
      <c r="J156" s="5">
        <v>46273.476388888892</v>
      </c>
      <c r="K156" s="6">
        <v>11</v>
      </c>
    </row>
    <row r="157" spans="1:11" ht="13" x14ac:dyDescent="0.15">
      <c r="A157" s="5">
        <v>46348.541666666664</v>
      </c>
      <c r="B157" s="1" t="s">
        <v>69</v>
      </c>
      <c r="C157" s="1" t="s">
        <v>46</v>
      </c>
      <c r="D157" s="1">
        <v>5.4</v>
      </c>
      <c r="E157" s="1">
        <v>1.17</v>
      </c>
      <c r="F157" s="1">
        <v>11.5</v>
      </c>
      <c r="G157" s="1">
        <v>1.91</v>
      </c>
      <c r="H157" s="1">
        <v>-11.5</v>
      </c>
      <c r="I157" s="1">
        <v>1.91</v>
      </c>
      <c r="J157" s="5">
        <v>46273.476388888892</v>
      </c>
      <c r="K157" s="6">
        <v>11</v>
      </c>
    </row>
    <row r="158" spans="1:11" ht="13" x14ac:dyDescent="0.15">
      <c r="A158" s="5">
        <v>46348.541666666664</v>
      </c>
      <c r="B158" s="1" t="s">
        <v>15</v>
      </c>
      <c r="C158" s="1" t="s">
        <v>64</v>
      </c>
      <c r="D158" s="1">
        <v>1.46</v>
      </c>
      <c r="E158" s="1">
        <v>2.8</v>
      </c>
      <c r="F158" s="1">
        <v>-4.5</v>
      </c>
      <c r="G158" s="1">
        <v>1.91</v>
      </c>
      <c r="H158" s="1">
        <v>4.5</v>
      </c>
      <c r="I158" s="1">
        <v>1.91</v>
      </c>
      <c r="J158" s="5">
        <v>46273.476388888892</v>
      </c>
      <c r="K158" s="6">
        <v>11</v>
      </c>
    </row>
    <row r="159" spans="1:11" ht="13" x14ac:dyDescent="0.15">
      <c r="A159" s="5">
        <v>46348.541666666664</v>
      </c>
      <c r="B159" s="1" t="s">
        <v>70</v>
      </c>
      <c r="C159" s="1" t="s">
        <v>51</v>
      </c>
      <c r="D159" s="1">
        <v>5.7</v>
      </c>
      <c r="E159" s="1">
        <v>1.1499999999999999</v>
      </c>
      <c r="F159" s="1">
        <v>11.5</v>
      </c>
      <c r="G159" s="1">
        <v>1.91</v>
      </c>
      <c r="H159" s="1">
        <v>-11.5</v>
      </c>
      <c r="I159" s="1">
        <v>1.91</v>
      </c>
      <c r="J159" s="5">
        <v>46273.476388888892</v>
      </c>
      <c r="K159" s="6">
        <v>11</v>
      </c>
    </row>
    <row r="160" spans="1:11" ht="13" x14ac:dyDescent="0.15">
      <c r="A160" s="5">
        <v>46348.541666666664</v>
      </c>
      <c r="B160" s="1" t="s">
        <v>63</v>
      </c>
      <c r="C160" s="1" t="s">
        <v>49</v>
      </c>
      <c r="D160" s="1">
        <v>3.3</v>
      </c>
      <c r="E160" s="1">
        <v>1.35</v>
      </c>
      <c r="F160" s="1">
        <v>6.5</v>
      </c>
      <c r="G160" s="1">
        <v>1.91</v>
      </c>
      <c r="H160" s="1">
        <v>-6.5</v>
      </c>
      <c r="I160" s="1">
        <v>1.91</v>
      </c>
      <c r="J160" s="5">
        <v>46273.476388888892</v>
      </c>
      <c r="K160" s="6">
        <v>11</v>
      </c>
    </row>
    <row r="161" spans="1:11" ht="13" x14ac:dyDescent="0.15">
      <c r="A161" s="5">
        <v>46348.541666666664</v>
      </c>
      <c r="B161" s="1" t="s">
        <v>66</v>
      </c>
      <c r="C161" s="1" t="s">
        <v>43</v>
      </c>
      <c r="D161" s="1">
        <v>3.3</v>
      </c>
      <c r="E161" s="1">
        <v>1.35</v>
      </c>
      <c r="F161" s="1">
        <v>6.5</v>
      </c>
      <c r="G161" s="1">
        <v>1.91</v>
      </c>
      <c r="H161" s="1">
        <v>-6.5</v>
      </c>
      <c r="I161" s="1">
        <v>1.91</v>
      </c>
      <c r="J161" s="5">
        <v>46273.476388888892</v>
      </c>
      <c r="K161" s="6">
        <v>11</v>
      </c>
    </row>
    <row r="162" spans="1:11" ht="13" x14ac:dyDescent="0.15">
      <c r="A162" s="5">
        <v>46348.541666666664</v>
      </c>
      <c r="B162" s="1" t="s">
        <v>61</v>
      </c>
      <c r="C162" s="1" t="s">
        <v>22</v>
      </c>
      <c r="D162" s="1">
        <v>2.85</v>
      </c>
      <c r="E162" s="1">
        <v>1.44</v>
      </c>
      <c r="F162" s="1">
        <v>4.5</v>
      </c>
      <c r="G162" s="1">
        <v>1.91</v>
      </c>
      <c r="H162" s="1">
        <v>-4.5</v>
      </c>
      <c r="I162" s="1">
        <v>1.91</v>
      </c>
      <c r="J162" s="5">
        <v>46273.476388888892</v>
      </c>
      <c r="K162" s="6">
        <v>11</v>
      </c>
    </row>
    <row r="163" spans="1:11" ht="13" x14ac:dyDescent="0.15">
      <c r="A163" s="5">
        <v>46348.541666666664</v>
      </c>
      <c r="B163" s="1" t="s">
        <v>12</v>
      </c>
      <c r="C163" s="1" t="s">
        <v>60</v>
      </c>
      <c r="D163" s="1">
        <v>1.8</v>
      </c>
      <c r="E163" s="1">
        <v>2.0499999999999998</v>
      </c>
      <c r="F163" s="1">
        <v>-1.5</v>
      </c>
      <c r="G163" s="1">
        <v>1.91</v>
      </c>
      <c r="H163" s="1">
        <v>1.5</v>
      </c>
      <c r="I163" s="1">
        <v>1.91</v>
      </c>
      <c r="J163" s="5">
        <v>46273.476388888892</v>
      </c>
      <c r="K163" s="6">
        <v>11</v>
      </c>
    </row>
    <row r="164" spans="1:11" ht="13" x14ac:dyDescent="0.15">
      <c r="A164" s="5">
        <v>46348.670138888891</v>
      </c>
      <c r="B164" s="1" t="s">
        <v>67</v>
      </c>
      <c r="C164" s="1" t="s">
        <v>2</v>
      </c>
      <c r="D164" s="1">
        <v>4.3</v>
      </c>
      <c r="E164" s="1">
        <v>1.24</v>
      </c>
      <c r="F164" s="1">
        <v>9.5</v>
      </c>
      <c r="G164" s="1">
        <v>1.91</v>
      </c>
      <c r="H164" s="1">
        <v>-9.5</v>
      </c>
      <c r="I164" s="1">
        <v>1.91</v>
      </c>
      <c r="J164" s="5">
        <v>46273.476388888892</v>
      </c>
      <c r="K164" s="6">
        <v>11</v>
      </c>
    </row>
    <row r="165" spans="1:11" ht="13" x14ac:dyDescent="0.15">
      <c r="A165" s="5">
        <v>46348.684027777781</v>
      </c>
      <c r="B165" s="1" t="s">
        <v>18</v>
      </c>
      <c r="C165" s="1" t="s">
        <v>42</v>
      </c>
      <c r="D165" s="1">
        <v>3.7</v>
      </c>
      <c r="E165" s="1">
        <v>1.29</v>
      </c>
      <c r="F165" s="1">
        <v>7.5</v>
      </c>
      <c r="G165" s="1">
        <v>1.91</v>
      </c>
      <c r="H165" s="1">
        <v>-7.5</v>
      </c>
      <c r="I165" s="1">
        <v>1.91</v>
      </c>
      <c r="J165" s="5">
        <v>46273.476388888892</v>
      </c>
      <c r="K165" s="6">
        <v>11</v>
      </c>
    </row>
    <row r="166" spans="1:11" ht="13" x14ac:dyDescent="0.15">
      <c r="A166" s="5">
        <v>46348.684027777781</v>
      </c>
      <c r="B166" s="1" t="s">
        <v>59</v>
      </c>
      <c r="C166" s="1" t="s">
        <v>48</v>
      </c>
      <c r="D166" s="1">
        <v>3</v>
      </c>
      <c r="E166" s="1">
        <v>1.41</v>
      </c>
      <c r="F166" s="1">
        <v>5.5</v>
      </c>
      <c r="G166" s="1">
        <v>1.91</v>
      </c>
      <c r="H166" s="1">
        <v>-5.5</v>
      </c>
      <c r="I166" s="1">
        <v>1.91</v>
      </c>
      <c r="J166" s="5">
        <v>46273.476388888892</v>
      </c>
      <c r="K166" s="6">
        <v>11</v>
      </c>
    </row>
    <row r="167" spans="1:11" ht="13" x14ac:dyDescent="0.15">
      <c r="A167" s="5">
        <v>46348.847222222219</v>
      </c>
      <c r="B167" s="1" t="s">
        <v>37</v>
      </c>
      <c r="C167" s="1" t="s">
        <v>34</v>
      </c>
      <c r="D167" s="1">
        <v>2.6</v>
      </c>
      <c r="E167" s="1">
        <v>1.52</v>
      </c>
      <c r="F167" s="1">
        <v>3.5</v>
      </c>
      <c r="G167" s="1">
        <v>1.91</v>
      </c>
      <c r="H167" s="1">
        <v>-3.5</v>
      </c>
      <c r="I167" s="1">
        <v>1.91</v>
      </c>
      <c r="J167" s="5">
        <v>46273.476388888892</v>
      </c>
      <c r="K167" s="6">
        <v>11</v>
      </c>
    </row>
    <row r="168" spans="1:11" ht="13" x14ac:dyDescent="0.15">
      <c r="A168" s="5">
        <v>46349.84375</v>
      </c>
      <c r="B168" s="1" t="s">
        <v>47</v>
      </c>
      <c r="C168" s="1" t="s">
        <v>62</v>
      </c>
      <c r="D168" s="1">
        <v>1.8</v>
      </c>
      <c r="E168" s="1">
        <v>2.0499999999999998</v>
      </c>
      <c r="F168" s="1">
        <v>-1.5</v>
      </c>
      <c r="G168" s="1">
        <v>1.91</v>
      </c>
      <c r="H168" s="1">
        <v>1.5</v>
      </c>
      <c r="I168" s="1">
        <v>1.91</v>
      </c>
      <c r="J168" s="5">
        <v>46273.476388888892</v>
      </c>
      <c r="K168" s="6">
        <v>11</v>
      </c>
    </row>
    <row r="169" spans="1:11" ht="13" x14ac:dyDescent="0.15">
      <c r="A169" s="5">
        <v>46351.833333333336</v>
      </c>
      <c r="B169" s="1" t="s">
        <v>50</v>
      </c>
      <c r="C169" s="1" t="s">
        <v>41</v>
      </c>
      <c r="D169" s="1">
        <v>2.85</v>
      </c>
      <c r="E169" s="1">
        <v>1.44</v>
      </c>
      <c r="F169" s="1">
        <v>4.5</v>
      </c>
      <c r="G169" s="1">
        <v>1.95</v>
      </c>
      <c r="H169" s="1">
        <v>-4.5</v>
      </c>
      <c r="I169" s="1">
        <v>1.87</v>
      </c>
      <c r="J169" s="5">
        <v>46273.476388888892</v>
      </c>
      <c r="K169" s="6">
        <v>12</v>
      </c>
    </row>
    <row r="170" spans="1:11" ht="13" x14ac:dyDescent="0.15">
      <c r="A170" s="5">
        <v>46352.541666666664</v>
      </c>
      <c r="B170" s="1" t="s">
        <v>49</v>
      </c>
      <c r="C170" s="1" t="s">
        <v>22</v>
      </c>
      <c r="D170" s="1">
        <v>2.2000000000000002</v>
      </c>
      <c r="E170" s="1">
        <v>1.7</v>
      </c>
      <c r="F170" s="1">
        <v>2.5</v>
      </c>
      <c r="G170" s="1">
        <v>1.95</v>
      </c>
      <c r="H170" s="1">
        <v>-2.5</v>
      </c>
      <c r="I170" s="1">
        <v>1.87</v>
      </c>
      <c r="J170" s="5">
        <v>46273.476388888892</v>
      </c>
      <c r="K170" s="6">
        <v>12</v>
      </c>
    </row>
    <row r="171" spans="1:11" ht="13" x14ac:dyDescent="0.15">
      <c r="A171" s="5">
        <v>46352.645833333336</v>
      </c>
      <c r="B171" s="1" t="s">
        <v>48</v>
      </c>
      <c r="C171" s="1" t="s">
        <v>43</v>
      </c>
      <c r="D171" s="1">
        <v>2.0499999999999998</v>
      </c>
      <c r="E171" s="1">
        <v>1.8</v>
      </c>
      <c r="F171" s="1">
        <v>1.5</v>
      </c>
      <c r="G171" s="1">
        <v>1.91</v>
      </c>
      <c r="H171" s="1">
        <v>-1.5</v>
      </c>
      <c r="I171" s="1">
        <v>1.91</v>
      </c>
      <c r="J171" s="5">
        <v>46273.476388888892</v>
      </c>
      <c r="K171" s="6">
        <v>12</v>
      </c>
    </row>
    <row r="172" spans="1:11" ht="13" x14ac:dyDescent="0.15">
      <c r="A172" s="5">
        <v>46352.847222222219</v>
      </c>
      <c r="B172" s="1" t="s">
        <v>46</v>
      </c>
      <c r="C172" s="1" t="s">
        <v>51</v>
      </c>
      <c r="D172" s="1">
        <v>2.2400000000000002</v>
      </c>
      <c r="E172" s="1">
        <v>1.68</v>
      </c>
      <c r="F172" s="1">
        <v>2.5</v>
      </c>
      <c r="G172" s="1">
        <v>1.95</v>
      </c>
      <c r="H172" s="1">
        <v>-2.5</v>
      </c>
      <c r="I172" s="1">
        <v>1.87</v>
      </c>
      <c r="J172" s="5">
        <v>46273.476388888892</v>
      </c>
      <c r="K172" s="6">
        <v>12</v>
      </c>
    </row>
    <row r="173" spans="1:11" ht="13" x14ac:dyDescent="0.15">
      <c r="A173" s="5">
        <v>46353.625</v>
      </c>
      <c r="B173" s="1" t="s">
        <v>42</v>
      </c>
      <c r="C173" s="1" t="s">
        <v>59</v>
      </c>
      <c r="D173" s="1">
        <v>1.82</v>
      </c>
      <c r="E173" s="1">
        <v>2.02</v>
      </c>
      <c r="F173" s="1">
        <v>-1.5</v>
      </c>
      <c r="G173" s="1">
        <v>1.91</v>
      </c>
      <c r="H173" s="1">
        <v>1.5</v>
      </c>
      <c r="I173" s="1">
        <v>1.91</v>
      </c>
      <c r="J173" s="5">
        <v>46273.476388888892</v>
      </c>
      <c r="K173" s="6">
        <v>12</v>
      </c>
    </row>
    <row r="174" spans="1:11" ht="13" x14ac:dyDescent="0.15">
      <c r="A174" s="5">
        <v>46355.541666666664</v>
      </c>
      <c r="B174" s="1" t="s">
        <v>65</v>
      </c>
      <c r="C174" s="1" t="s">
        <v>37</v>
      </c>
      <c r="D174" s="1">
        <v>2.8</v>
      </c>
      <c r="E174" s="1">
        <v>1.46</v>
      </c>
      <c r="F174" s="1">
        <v>4.5</v>
      </c>
      <c r="G174" s="1">
        <v>1.91</v>
      </c>
      <c r="H174" s="1">
        <v>-4.5</v>
      </c>
      <c r="I174" s="1">
        <v>1.91</v>
      </c>
      <c r="J174" s="5">
        <v>46273.476388888892</v>
      </c>
      <c r="K174" s="6">
        <v>12</v>
      </c>
    </row>
    <row r="175" spans="1:11" ht="13" x14ac:dyDescent="0.15">
      <c r="A175" s="5">
        <v>46355.541666666664</v>
      </c>
      <c r="B175" s="1" t="s">
        <v>15</v>
      </c>
      <c r="C175" s="1" t="s">
        <v>52</v>
      </c>
      <c r="D175" s="1">
        <v>2.02</v>
      </c>
      <c r="E175" s="1">
        <v>1.82</v>
      </c>
      <c r="F175" s="1">
        <v>1.5</v>
      </c>
      <c r="G175" s="1">
        <v>1.91</v>
      </c>
      <c r="H175" s="1">
        <v>-1.5</v>
      </c>
      <c r="I175" s="1">
        <v>1.91</v>
      </c>
      <c r="J175" s="5">
        <v>46273.476388888892</v>
      </c>
      <c r="K175" s="6">
        <v>12</v>
      </c>
    </row>
    <row r="176" spans="1:11" ht="13" x14ac:dyDescent="0.15">
      <c r="A176" s="5">
        <v>46355.541666666664</v>
      </c>
      <c r="B176" s="1" t="s">
        <v>63</v>
      </c>
      <c r="C176" s="1" t="s">
        <v>47</v>
      </c>
      <c r="D176" s="1">
        <v>3.35</v>
      </c>
      <c r="E176" s="1">
        <v>1.34</v>
      </c>
      <c r="F176" s="1">
        <v>6.5</v>
      </c>
      <c r="G176" s="1">
        <v>1.91</v>
      </c>
      <c r="H176" s="1">
        <v>-6.5</v>
      </c>
      <c r="I176" s="1">
        <v>1.91</v>
      </c>
      <c r="J176" s="5">
        <v>46273.476388888892</v>
      </c>
      <c r="K176" s="6">
        <v>12</v>
      </c>
    </row>
    <row r="177" spans="1:11" ht="13" x14ac:dyDescent="0.15">
      <c r="A177" s="5">
        <v>46355.541666666664</v>
      </c>
      <c r="B177" s="1" t="s">
        <v>18</v>
      </c>
      <c r="C177" s="1" t="s">
        <v>68</v>
      </c>
      <c r="D177" s="1">
        <v>2.02</v>
      </c>
      <c r="E177" s="1">
        <v>1.82</v>
      </c>
      <c r="F177" s="1">
        <v>1.5</v>
      </c>
      <c r="G177" s="1">
        <v>1.91</v>
      </c>
      <c r="H177" s="1">
        <v>-1.5</v>
      </c>
      <c r="I177" s="1">
        <v>1.91</v>
      </c>
      <c r="J177" s="5">
        <v>46273.476388888892</v>
      </c>
      <c r="K177" s="6">
        <v>12</v>
      </c>
    </row>
    <row r="178" spans="1:11" ht="13" x14ac:dyDescent="0.15">
      <c r="A178" s="5">
        <v>46355.541666666664</v>
      </c>
      <c r="B178" s="1" t="s">
        <v>60</v>
      </c>
      <c r="C178" s="1" t="s">
        <v>45</v>
      </c>
      <c r="D178" s="1">
        <v>2.14</v>
      </c>
      <c r="E178" s="1">
        <v>1.74</v>
      </c>
      <c r="F178" s="1">
        <v>2.5</v>
      </c>
      <c r="G178" s="1">
        <v>1.91</v>
      </c>
      <c r="H178" s="1">
        <v>-2.5</v>
      </c>
      <c r="I178" s="1">
        <v>1.91</v>
      </c>
      <c r="J178" s="5">
        <v>46273.476388888892</v>
      </c>
      <c r="K178" s="6">
        <v>12</v>
      </c>
    </row>
    <row r="179" spans="1:11" ht="13" x14ac:dyDescent="0.15">
      <c r="A179" s="5">
        <v>46355.541666666664</v>
      </c>
      <c r="B179" s="1" t="s">
        <v>66</v>
      </c>
      <c r="C179" s="1" t="s">
        <v>12</v>
      </c>
      <c r="D179" s="1">
        <v>2.95</v>
      </c>
      <c r="E179" s="1">
        <v>1.42</v>
      </c>
      <c r="F179" s="1">
        <v>5.5</v>
      </c>
      <c r="G179" s="1">
        <v>1.91</v>
      </c>
      <c r="H179" s="1">
        <v>-5.5</v>
      </c>
      <c r="I179" s="1">
        <v>1.91</v>
      </c>
      <c r="J179" s="5">
        <v>46273.476388888892</v>
      </c>
      <c r="K179" s="6">
        <v>12</v>
      </c>
    </row>
    <row r="180" spans="1:11" ht="13" x14ac:dyDescent="0.15">
      <c r="A180" s="5">
        <v>46355.541666666664</v>
      </c>
      <c r="B180" s="1" t="s">
        <v>67</v>
      </c>
      <c r="C180" s="1" t="s">
        <v>70</v>
      </c>
      <c r="D180" s="1">
        <v>2.0499999999999998</v>
      </c>
      <c r="E180" s="1">
        <v>1.8</v>
      </c>
      <c r="F180" s="1">
        <v>1.5</v>
      </c>
      <c r="G180" s="1">
        <v>1.91</v>
      </c>
      <c r="H180" s="1">
        <v>-1.5</v>
      </c>
      <c r="I180" s="1">
        <v>1.91</v>
      </c>
      <c r="J180" s="5">
        <v>46273.476388888892</v>
      </c>
      <c r="K180" s="6">
        <v>12</v>
      </c>
    </row>
    <row r="181" spans="1:11" ht="13" x14ac:dyDescent="0.15">
      <c r="A181" s="5">
        <v>46355.684027777781</v>
      </c>
      <c r="B181" s="1" t="s">
        <v>62</v>
      </c>
      <c r="C181" s="1" t="s">
        <v>69</v>
      </c>
      <c r="D181" s="1">
        <v>1.46</v>
      </c>
      <c r="E181" s="1">
        <v>2.8</v>
      </c>
      <c r="F181" s="1">
        <v>-4.5</v>
      </c>
      <c r="G181" s="1">
        <v>1.91</v>
      </c>
      <c r="H181" s="1">
        <v>4.5</v>
      </c>
      <c r="I181" s="1">
        <v>1.91</v>
      </c>
      <c r="J181" s="5">
        <v>46273.476388888892</v>
      </c>
      <c r="K181" s="6">
        <v>12</v>
      </c>
    </row>
    <row r="182" spans="1:11" ht="13" x14ac:dyDescent="0.15">
      <c r="A182" s="5">
        <v>46355.684027777781</v>
      </c>
      <c r="B182" s="1" t="s">
        <v>44</v>
      </c>
      <c r="C182" s="1" t="s">
        <v>34</v>
      </c>
      <c r="D182" s="1">
        <v>1.91</v>
      </c>
      <c r="E182" s="1">
        <v>1.91</v>
      </c>
      <c r="F182" s="1">
        <v>1.5</v>
      </c>
      <c r="G182" s="1">
        <v>1.8</v>
      </c>
      <c r="H182" s="1">
        <v>-1.5</v>
      </c>
      <c r="I182" s="1">
        <v>2.0499999999999998</v>
      </c>
      <c r="J182" s="5">
        <v>46273.476388888892</v>
      </c>
      <c r="K182" s="6">
        <v>12</v>
      </c>
    </row>
    <row r="183" spans="1:11" ht="13" x14ac:dyDescent="0.15">
      <c r="A183" s="5">
        <v>46355.847222222219</v>
      </c>
      <c r="B183" s="1" t="s">
        <v>40</v>
      </c>
      <c r="C183" s="1" t="s">
        <v>2</v>
      </c>
      <c r="D183" s="1">
        <v>2.0499999999999998</v>
      </c>
      <c r="E183" s="1">
        <v>1.8</v>
      </c>
      <c r="F183" s="1">
        <v>1.5</v>
      </c>
      <c r="G183" s="1">
        <v>1.91</v>
      </c>
      <c r="H183" s="1">
        <v>-1.5</v>
      </c>
      <c r="I183" s="1">
        <v>1.91</v>
      </c>
      <c r="J183" s="5">
        <v>46273.476388888892</v>
      </c>
      <c r="K183" s="6">
        <v>12</v>
      </c>
    </row>
    <row r="184" spans="1:11" ht="13" x14ac:dyDescent="0.15">
      <c r="A184" s="5">
        <v>46356.84375</v>
      </c>
      <c r="B184" s="1" t="s">
        <v>64</v>
      </c>
      <c r="C184" s="1" t="s">
        <v>61</v>
      </c>
      <c r="D184" s="1">
        <v>2.6</v>
      </c>
      <c r="E184" s="1">
        <v>1.52</v>
      </c>
      <c r="F184" s="1">
        <v>3.5</v>
      </c>
      <c r="G184" s="1">
        <v>1.91</v>
      </c>
      <c r="H184" s="1">
        <v>-3.5</v>
      </c>
      <c r="I184" s="1">
        <v>1.91</v>
      </c>
      <c r="J184" s="5">
        <v>46273.476388888892</v>
      </c>
      <c r="K184" s="6">
        <v>12</v>
      </c>
    </row>
    <row r="185" spans="1:11" ht="13" x14ac:dyDescent="0.15">
      <c r="A185" s="5">
        <v>46359.84375</v>
      </c>
      <c r="B185" s="1" t="s">
        <v>46</v>
      </c>
      <c r="C185" s="1" t="s">
        <v>41</v>
      </c>
      <c r="D185" s="1">
        <v>2.7</v>
      </c>
      <c r="E185" s="1">
        <v>1.49</v>
      </c>
      <c r="F185" s="1">
        <v>3.5</v>
      </c>
      <c r="G185" s="1">
        <v>1.98</v>
      </c>
      <c r="H185" s="1">
        <v>-3.5</v>
      </c>
      <c r="I185" s="1">
        <v>1.85</v>
      </c>
      <c r="J185" s="5">
        <v>46273.476388888892</v>
      </c>
      <c r="K185" s="6">
        <v>13</v>
      </c>
    </row>
    <row r="186" spans="1:11" ht="13" x14ac:dyDescent="0.15">
      <c r="A186" s="5">
        <v>46362.541666666664</v>
      </c>
      <c r="B186" s="1" t="s">
        <v>22</v>
      </c>
      <c r="C186" s="1" t="s">
        <v>65</v>
      </c>
      <c r="D186" s="1">
        <v>1.54</v>
      </c>
      <c r="E186" s="1">
        <v>2.54</v>
      </c>
      <c r="F186" s="1">
        <v>-3.5</v>
      </c>
      <c r="G186" s="1">
        <v>1.91</v>
      </c>
      <c r="H186" s="1">
        <v>3.5</v>
      </c>
      <c r="I186" s="1">
        <v>1.91</v>
      </c>
      <c r="J186" s="5">
        <v>46273.476388888892</v>
      </c>
      <c r="K186" s="6">
        <v>13</v>
      </c>
    </row>
    <row r="187" spans="1:11" ht="13" x14ac:dyDescent="0.15">
      <c r="A187" s="5">
        <v>46362.541666666664</v>
      </c>
      <c r="B187" s="1" t="s">
        <v>12</v>
      </c>
      <c r="C187" s="1" t="s">
        <v>49</v>
      </c>
      <c r="D187" s="1">
        <v>2.2999999999999998</v>
      </c>
      <c r="E187" s="1">
        <v>1.65</v>
      </c>
      <c r="F187" s="1">
        <v>3</v>
      </c>
      <c r="G187" s="1">
        <v>1.87</v>
      </c>
      <c r="H187" s="1">
        <v>-3</v>
      </c>
      <c r="I187" s="1">
        <v>1.95</v>
      </c>
      <c r="J187" s="5">
        <v>46273.476388888892</v>
      </c>
      <c r="K187" s="6">
        <v>13</v>
      </c>
    </row>
    <row r="188" spans="1:11" ht="13" x14ac:dyDescent="0.15">
      <c r="A188" s="5">
        <v>46362.541666666664</v>
      </c>
      <c r="B188" s="1" t="s">
        <v>47</v>
      </c>
      <c r="C188" s="1" t="s">
        <v>68</v>
      </c>
      <c r="D188" s="1">
        <v>1.46</v>
      </c>
      <c r="E188" s="1">
        <v>2.8</v>
      </c>
      <c r="F188" s="1">
        <v>-4.5</v>
      </c>
      <c r="G188" s="1">
        <v>1.91</v>
      </c>
      <c r="H188" s="1">
        <v>4.5</v>
      </c>
      <c r="I188" s="1">
        <v>1.91</v>
      </c>
      <c r="J188" s="5">
        <v>46273.476388888892</v>
      </c>
      <c r="K188" s="6">
        <v>13</v>
      </c>
    </row>
    <row r="189" spans="1:11" ht="13" x14ac:dyDescent="0.15">
      <c r="A189" s="5">
        <v>46362.541666666664</v>
      </c>
      <c r="B189" s="1" t="s">
        <v>70</v>
      </c>
      <c r="C189" s="1" t="s">
        <v>42</v>
      </c>
      <c r="D189" s="1">
        <v>4.5</v>
      </c>
      <c r="E189" s="1">
        <v>1.22</v>
      </c>
      <c r="F189" s="1">
        <v>9.5</v>
      </c>
      <c r="G189" s="1">
        <v>1.91</v>
      </c>
      <c r="H189" s="1">
        <v>-9.5</v>
      </c>
      <c r="I189" s="1">
        <v>1.91</v>
      </c>
      <c r="J189" s="5">
        <v>46273.476388888892</v>
      </c>
      <c r="K189" s="6">
        <v>13</v>
      </c>
    </row>
    <row r="190" spans="1:11" ht="13" x14ac:dyDescent="0.15">
      <c r="A190" s="5">
        <v>46362.541666666664</v>
      </c>
      <c r="B190" s="1" t="s">
        <v>50</v>
      </c>
      <c r="C190" s="1" t="s">
        <v>63</v>
      </c>
      <c r="D190" s="1">
        <v>1.44</v>
      </c>
      <c r="E190" s="1">
        <v>2.85</v>
      </c>
      <c r="F190" s="1">
        <v>-4.5</v>
      </c>
      <c r="G190" s="1">
        <v>1.91</v>
      </c>
      <c r="H190" s="1">
        <v>4.5</v>
      </c>
      <c r="I190" s="1">
        <v>1.91</v>
      </c>
      <c r="J190" s="5">
        <v>46273.476388888892</v>
      </c>
      <c r="K190" s="6">
        <v>13</v>
      </c>
    </row>
    <row r="191" spans="1:11" ht="13" x14ac:dyDescent="0.15">
      <c r="A191" s="5">
        <v>46362.541666666664</v>
      </c>
      <c r="B191" s="1" t="s">
        <v>2</v>
      </c>
      <c r="C191" s="1" t="s">
        <v>61</v>
      </c>
      <c r="D191" s="1">
        <v>1.7</v>
      </c>
      <c r="E191" s="1">
        <v>2.2000000000000002</v>
      </c>
      <c r="F191" s="1">
        <v>-2.5</v>
      </c>
      <c r="G191" s="1">
        <v>1.91</v>
      </c>
      <c r="H191" s="1">
        <v>2.5</v>
      </c>
      <c r="I191" s="1">
        <v>1.91</v>
      </c>
      <c r="J191" s="5">
        <v>46273.476388888892</v>
      </c>
      <c r="K191" s="6">
        <v>13</v>
      </c>
    </row>
    <row r="192" spans="1:11" ht="13" x14ac:dyDescent="0.15">
      <c r="A192" s="5">
        <v>46362.541666666664</v>
      </c>
      <c r="B192" s="1" t="s">
        <v>34</v>
      </c>
      <c r="C192" s="1" t="s">
        <v>60</v>
      </c>
      <c r="D192" s="1">
        <v>1.6</v>
      </c>
      <c r="E192" s="1">
        <v>2.4</v>
      </c>
      <c r="F192" s="1">
        <v>-3</v>
      </c>
      <c r="G192" s="1">
        <v>1.91</v>
      </c>
      <c r="H192" s="1">
        <v>3</v>
      </c>
      <c r="I192" s="1">
        <v>1.91</v>
      </c>
      <c r="J192" s="5">
        <v>46273.476388888892</v>
      </c>
      <c r="K192" s="6">
        <v>13</v>
      </c>
    </row>
    <row r="193" spans="1:11" ht="13" x14ac:dyDescent="0.15">
      <c r="A193" s="5">
        <v>46362.541666666664</v>
      </c>
      <c r="B193" s="1" t="s">
        <v>62</v>
      </c>
      <c r="C193" s="1" t="s">
        <v>66</v>
      </c>
      <c r="D193" s="1">
        <v>1.8</v>
      </c>
      <c r="E193" s="1">
        <v>2.0499999999999998</v>
      </c>
      <c r="F193" s="1">
        <v>-1.5</v>
      </c>
      <c r="G193" s="1">
        <v>1.91</v>
      </c>
      <c r="H193" s="1">
        <v>1.5</v>
      </c>
      <c r="I193" s="1">
        <v>1.91</v>
      </c>
      <c r="J193" s="5">
        <v>46273.476388888892</v>
      </c>
      <c r="K193" s="6">
        <v>13</v>
      </c>
    </row>
    <row r="194" spans="1:11" ht="13" x14ac:dyDescent="0.15">
      <c r="A194" s="5">
        <v>46362.670138888891</v>
      </c>
      <c r="B194" s="1" t="s">
        <v>48</v>
      </c>
      <c r="C194" s="1" t="s">
        <v>69</v>
      </c>
      <c r="D194" s="1">
        <v>1.25</v>
      </c>
      <c r="E194" s="1">
        <v>4.0999999999999996</v>
      </c>
      <c r="F194" s="1">
        <v>-8.5</v>
      </c>
      <c r="G194" s="1">
        <v>1.91</v>
      </c>
      <c r="H194" s="1">
        <v>8.5</v>
      </c>
      <c r="I194" s="1">
        <v>1.91</v>
      </c>
      <c r="J194" s="5">
        <v>46273.476388888892</v>
      </c>
      <c r="K194" s="6">
        <v>13</v>
      </c>
    </row>
    <row r="195" spans="1:11" ht="13" x14ac:dyDescent="0.15">
      <c r="A195" s="5">
        <v>46362.684027777781</v>
      </c>
      <c r="B195" s="1" t="s">
        <v>51</v>
      </c>
      <c r="C195" s="1" t="s">
        <v>40</v>
      </c>
      <c r="D195" s="1">
        <v>2.02</v>
      </c>
      <c r="E195" s="1">
        <v>1.82</v>
      </c>
      <c r="F195" s="1">
        <v>1.5</v>
      </c>
      <c r="G195" s="1">
        <v>1.89</v>
      </c>
      <c r="H195" s="1">
        <v>-1.5</v>
      </c>
      <c r="I195" s="1">
        <v>1.93</v>
      </c>
      <c r="J195" s="5">
        <v>46273.476388888892</v>
      </c>
      <c r="K195" s="6">
        <v>13</v>
      </c>
    </row>
    <row r="196" spans="1:11" ht="13" x14ac:dyDescent="0.15">
      <c r="A196" s="5">
        <v>46362.684027777781</v>
      </c>
      <c r="B196" s="1" t="s">
        <v>64</v>
      </c>
      <c r="C196" s="1" t="s">
        <v>37</v>
      </c>
      <c r="D196" s="1">
        <v>2.6</v>
      </c>
      <c r="E196" s="1">
        <v>1.52</v>
      </c>
      <c r="F196" s="1">
        <v>3.5</v>
      </c>
      <c r="G196" s="1">
        <v>1.91</v>
      </c>
      <c r="H196" s="1">
        <v>-3.5</v>
      </c>
      <c r="I196" s="1">
        <v>1.91</v>
      </c>
      <c r="J196" s="5">
        <v>46273.476388888892</v>
      </c>
      <c r="K196" s="6">
        <v>13</v>
      </c>
    </row>
    <row r="197" spans="1:11" ht="13" x14ac:dyDescent="0.15">
      <c r="A197" s="5">
        <v>46362.847222222219</v>
      </c>
      <c r="B197" s="1" t="s">
        <v>52</v>
      </c>
      <c r="C197" s="1" t="s">
        <v>59</v>
      </c>
      <c r="D197" s="1">
        <v>1.82</v>
      </c>
      <c r="E197" s="1">
        <v>2.02</v>
      </c>
      <c r="F197" s="1">
        <v>-1.5</v>
      </c>
      <c r="G197" s="1">
        <v>1.91</v>
      </c>
      <c r="H197" s="1">
        <v>1.5</v>
      </c>
      <c r="I197" s="1">
        <v>1.91</v>
      </c>
      <c r="J197" s="5">
        <v>46273.476388888892</v>
      </c>
      <c r="K197" s="6">
        <v>13</v>
      </c>
    </row>
    <row r="198" spans="1:11" ht="13" x14ac:dyDescent="0.15">
      <c r="A198" s="5">
        <v>46363.84375</v>
      </c>
      <c r="B198" s="1" t="s">
        <v>43</v>
      </c>
      <c r="C198" s="1" t="s">
        <v>44</v>
      </c>
      <c r="D198" s="1">
        <v>2.85</v>
      </c>
      <c r="E198" s="1">
        <v>1.44</v>
      </c>
      <c r="F198" s="1">
        <v>4.5</v>
      </c>
      <c r="G198" s="1">
        <v>1.91</v>
      </c>
      <c r="H198" s="1">
        <v>-4.5</v>
      </c>
      <c r="I198" s="1">
        <v>1.91</v>
      </c>
      <c r="J198" s="5">
        <v>46273.476388888892</v>
      </c>
      <c r="K198" s="6">
        <v>13</v>
      </c>
    </row>
    <row r="199" spans="1:11" ht="13" x14ac:dyDescent="0.15">
      <c r="A199" s="5">
        <v>46366.84375</v>
      </c>
      <c r="B199" s="1" t="s">
        <v>37</v>
      </c>
      <c r="C199" s="1" t="s">
        <v>40</v>
      </c>
      <c r="D199" s="1">
        <v>2.8</v>
      </c>
      <c r="E199" s="1">
        <v>1.46</v>
      </c>
      <c r="F199" s="1">
        <v>4.5</v>
      </c>
      <c r="G199" s="1">
        <v>1.91</v>
      </c>
      <c r="H199" s="1">
        <v>-4.5</v>
      </c>
      <c r="I199" s="1">
        <v>1.91</v>
      </c>
      <c r="J199" s="5">
        <v>46273.476388888892</v>
      </c>
      <c r="K199" s="6">
        <v>14</v>
      </c>
    </row>
    <row r="200" spans="1:11" ht="13" x14ac:dyDescent="0.15">
      <c r="A200" s="5">
        <v>46369.541666666664</v>
      </c>
      <c r="B200" s="1" t="s">
        <v>65</v>
      </c>
      <c r="C200" s="1" t="s">
        <v>68</v>
      </c>
      <c r="D200" s="1">
        <v>2.0499999999999998</v>
      </c>
      <c r="E200" s="1">
        <v>1.8</v>
      </c>
      <c r="F200" s="1">
        <v>1.5</v>
      </c>
      <c r="G200" s="1">
        <v>1.91</v>
      </c>
      <c r="H200" s="1">
        <v>-1.5</v>
      </c>
      <c r="I200" s="1">
        <v>1.91</v>
      </c>
      <c r="J200" s="5">
        <v>46273.476388888892</v>
      </c>
      <c r="K200" s="6">
        <v>14</v>
      </c>
    </row>
    <row r="201" spans="1:11" ht="13" x14ac:dyDescent="0.15">
      <c r="A201" s="5">
        <v>46369.541666666664</v>
      </c>
      <c r="B201" s="1" t="s">
        <v>61</v>
      </c>
      <c r="C201" s="1" t="s">
        <v>15</v>
      </c>
      <c r="D201" s="1">
        <v>3.1</v>
      </c>
      <c r="E201" s="1">
        <v>1.39</v>
      </c>
      <c r="F201" s="1">
        <v>6</v>
      </c>
      <c r="G201" s="1">
        <v>1.91</v>
      </c>
      <c r="H201" s="1">
        <v>-6</v>
      </c>
      <c r="I201" s="1">
        <v>1.91</v>
      </c>
      <c r="J201" s="5">
        <v>46273.476388888892</v>
      </c>
      <c r="K201" s="6">
        <v>14</v>
      </c>
    </row>
    <row r="202" spans="1:11" ht="13" x14ac:dyDescent="0.15">
      <c r="A202" s="5">
        <v>46369.541666666664</v>
      </c>
      <c r="B202" s="1" t="s">
        <v>63</v>
      </c>
      <c r="C202" s="1" t="s">
        <v>64</v>
      </c>
      <c r="D202" s="1">
        <v>2.14</v>
      </c>
      <c r="E202" s="1">
        <v>1.74</v>
      </c>
      <c r="F202" s="1">
        <v>2.5</v>
      </c>
      <c r="G202" s="1">
        <v>1.91</v>
      </c>
      <c r="H202" s="1">
        <v>-2.5</v>
      </c>
      <c r="I202" s="1">
        <v>1.91</v>
      </c>
      <c r="J202" s="5">
        <v>46273.476388888892</v>
      </c>
      <c r="K202" s="6">
        <v>14</v>
      </c>
    </row>
    <row r="203" spans="1:11" ht="13" x14ac:dyDescent="0.15">
      <c r="A203" s="5">
        <v>46369.541666666664</v>
      </c>
      <c r="B203" s="1" t="s">
        <v>49</v>
      </c>
      <c r="C203" s="1" t="s">
        <v>70</v>
      </c>
      <c r="D203" s="1">
        <v>1.41</v>
      </c>
      <c r="E203" s="1">
        <v>3</v>
      </c>
      <c r="F203" s="1">
        <v>-5.5</v>
      </c>
      <c r="G203" s="1">
        <v>1.91</v>
      </c>
      <c r="H203" s="1">
        <v>5.5</v>
      </c>
      <c r="I203" s="1">
        <v>1.91</v>
      </c>
      <c r="J203" s="5">
        <v>46273.476388888892</v>
      </c>
      <c r="K203" s="6">
        <v>14</v>
      </c>
    </row>
    <row r="204" spans="1:11" ht="13" x14ac:dyDescent="0.15">
      <c r="A204" s="5">
        <v>46369.541666666664</v>
      </c>
      <c r="B204" s="1" t="s">
        <v>42</v>
      </c>
      <c r="C204" s="1" t="s">
        <v>67</v>
      </c>
      <c r="D204" s="1">
        <v>1.43</v>
      </c>
      <c r="E204" s="1">
        <v>2.9</v>
      </c>
      <c r="F204" s="1">
        <v>-5.5</v>
      </c>
      <c r="G204" s="1">
        <v>1.91</v>
      </c>
      <c r="H204" s="1">
        <v>5.5</v>
      </c>
      <c r="I204" s="1">
        <v>1.91</v>
      </c>
      <c r="J204" s="5">
        <v>46273.476388888892</v>
      </c>
      <c r="K204" s="6">
        <v>14</v>
      </c>
    </row>
    <row r="205" spans="1:11" ht="13" x14ac:dyDescent="0.15">
      <c r="A205" s="5">
        <v>46369.541666666664</v>
      </c>
      <c r="B205" s="1" t="s">
        <v>66</v>
      </c>
      <c r="C205" s="1" t="s">
        <v>22</v>
      </c>
      <c r="D205" s="1">
        <v>3.85</v>
      </c>
      <c r="E205" s="1">
        <v>1.28</v>
      </c>
      <c r="F205" s="1">
        <v>7.5</v>
      </c>
      <c r="G205" s="1">
        <v>1.91</v>
      </c>
      <c r="H205" s="1">
        <v>-7.5</v>
      </c>
      <c r="I205" s="1">
        <v>1.91</v>
      </c>
      <c r="J205" s="5">
        <v>46273.476388888892</v>
      </c>
      <c r="K205" s="6">
        <v>14</v>
      </c>
    </row>
    <row r="206" spans="1:11" ht="13" x14ac:dyDescent="0.15">
      <c r="A206" s="5">
        <v>46369.541666666664</v>
      </c>
      <c r="B206" s="1" t="s">
        <v>52</v>
      </c>
      <c r="C206" s="1" t="s">
        <v>62</v>
      </c>
      <c r="D206" s="1">
        <v>1.82</v>
      </c>
      <c r="E206" s="1">
        <v>2.02</v>
      </c>
      <c r="F206" s="1">
        <v>-1.5</v>
      </c>
      <c r="G206" s="1">
        <v>1.91</v>
      </c>
      <c r="H206" s="1">
        <v>1.5</v>
      </c>
      <c r="I206" s="1">
        <v>1.91</v>
      </c>
      <c r="J206" s="5">
        <v>46273.476388888892</v>
      </c>
      <c r="K206" s="6">
        <v>14</v>
      </c>
    </row>
    <row r="207" spans="1:11" ht="13" x14ac:dyDescent="0.15">
      <c r="A207" s="5">
        <v>46369.541666666664</v>
      </c>
      <c r="B207" s="1" t="s">
        <v>45</v>
      </c>
      <c r="C207" s="1" t="s">
        <v>48</v>
      </c>
      <c r="D207" s="1">
        <v>3</v>
      </c>
      <c r="E207" s="1">
        <v>1.41</v>
      </c>
      <c r="F207" s="1">
        <v>5.5</v>
      </c>
      <c r="G207" s="1">
        <v>1.91</v>
      </c>
      <c r="H207" s="1">
        <v>-5.5</v>
      </c>
      <c r="I207" s="1">
        <v>1.91</v>
      </c>
      <c r="J207" s="5">
        <v>46273.476388888892</v>
      </c>
      <c r="K207" s="6">
        <v>14</v>
      </c>
    </row>
    <row r="208" spans="1:11" ht="13" x14ac:dyDescent="0.15">
      <c r="A208" s="5">
        <v>46369.670138888891</v>
      </c>
      <c r="B208" s="1" t="s">
        <v>2</v>
      </c>
      <c r="C208" s="1" t="s">
        <v>18</v>
      </c>
      <c r="D208" s="1">
        <v>1.43</v>
      </c>
      <c r="E208" s="1">
        <v>2.9</v>
      </c>
      <c r="F208" s="1">
        <v>-5.5</v>
      </c>
      <c r="G208" s="1">
        <v>1.91</v>
      </c>
      <c r="H208" s="1">
        <v>5.5</v>
      </c>
      <c r="I208" s="1">
        <v>1.91</v>
      </c>
      <c r="J208" s="5">
        <v>46273.476388888892</v>
      </c>
      <c r="K208" s="6">
        <v>14</v>
      </c>
    </row>
    <row r="209" spans="1:11" ht="13" x14ac:dyDescent="0.15">
      <c r="A209" s="5">
        <v>46369.684027777781</v>
      </c>
      <c r="B209" s="1" t="s">
        <v>46</v>
      </c>
      <c r="C209" s="1" t="s">
        <v>47</v>
      </c>
      <c r="D209" s="1">
        <v>2.0499999999999998</v>
      </c>
      <c r="E209" s="1">
        <v>1.8</v>
      </c>
      <c r="F209" s="1">
        <v>1.5</v>
      </c>
      <c r="G209" s="1">
        <v>1.91</v>
      </c>
      <c r="H209" s="1">
        <v>-1.5</v>
      </c>
      <c r="I209" s="1">
        <v>1.91</v>
      </c>
      <c r="J209" s="5">
        <v>46273.476388888892</v>
      </c>
      <c r="K209" s="6">
        <v>14</v>
      </c>
    </row>
    <row r="210" spans="1:11" ht="13" x14ac:dyDescent="0.15">
      <c r="A210" s="5">
        <v>46369.684027777781</v>
      </c>
      <c r="B210" s="1" t="s">
        <v>41</v>
      </c>
      <c r="C210" s="1" t="s">
        <v>34</v>
      </c>
      <c r="D210" s="1">
        <v>1.77</v>
      </c>
      <c r="E210" s="1">
        <v>2.1</v>
      </c>
      <c r="F210" s="1">
        <v>-2.5</v>
      </c>
      <c r="G210" s="1">
        <v>1.95</v>
      </c>
      <c r="H210" s="1">
        <v>2.5</v>
      </c>
      <c r="I210" s="1">
        <v>1.87</v>
      </c>
      <c r="J210" s="5">
        <v>46273.476388888892</v>
      </c>
      <c r="K210" s="6">
        <v>14</v>
      </c>
    </row>
    <row r="211" spans="1:11" ht="13" x14ac:dyDescent="0.15">
      <c r="A211" s="5">
        <v>46369.684027777781</v>
      </c>
      <c r="B211" s="1" t="s">
        <v>60</v>
      </c>
      <c r="C211" s="1" t="s">
        <v>44</v>
      </c>
      <c r="D211" s="1">
        <v>3.95</v>
      </c>
      <c r="E211" s="1">
        <v>1.27</v>
      </c>
      <c r="F211" s="1">
        <v>7.5</v>
      </c>
      <c r="G211" s="1">
        <v>1.91</v>
      </c>
      <c r="H211" s="1">
        <v>-7.5</v>
      </c>
      <c r="I211" s="1">
        <v>1.91</v>
      </c>
      <c r="J211" s="5">
        <v>46273.476388888892</v>
      </c>
      <c r="K211" s="6">
        <v>14</v>
      </c>
    </row>
    <row r="212" spans="1:11" ht="13" x14ac:dyDescent="0.15">
      <c r="A212" s="5">
        <v>46369.847222222219</v>
      </c>
      <c r="B212" s="1" t="s">
        <v>51</v>
      </c>
      <c r="C212" s="1" t="s">
        <v>50</v>
      </c>
      <c r="D212" s="1">
        <v>2.0499999999999998</v>
      </c>
      <c r="E212" s="1">
        <v>1.8</v>
      </c>
      <c r="F212" s="1">
        <v>1.5</v>
      </c>
      <c r="G212" s="1">
        <v>1.91</v>
      </c>
      <c r="H212" s="1">
        <v>-1.5</v>
      </c>
      <c r="I212" s="1">
        <v>1.91</v>
      </c>
      <c r="J212" s="5">
        <v>46273.476388888892</v>
      </c>
      <c r="K212" s="6">
        <v>14</v>
      </c>
    </row>
    <row r="213" spans="1:11" ht="13" x14ac:dyDescent="0.15">
      <c r="A213" s="5">
        <v>46370.84375</v>
      </c>
      <c r="B213" s="1" t="s">
        <v>59</v>
      </c>
      <c r="C213" s="1" t="s">
        <v>12</v>
      </c>
      <c r="D213" s="1">
        <v>2.36</v>
      </c>
      <c r="E213" s="1">
        <v>1.62</v>
      </c>
      <c r="F213" s="1">
        <v>3</v>
      </c>
      <c r="G213" s="1">
        <v>1.91</v>
      </c>
      <c r="H213" s="1">
        <v>-3</v>
      </c>
      <c r="I213" s="1">
        <v>1.91</v>
      </c>
      <c r="J213" s="5">
        <v>46273.476388888892</v>
      </c>
      <c r="K213" s="6">
        <v>14</v>
      </c>
    </row>
    <row r="214" spans="1:11" ht="13" x14ac:dyDescent="0.15">
      <c r="A214" s="5">
        <v>46373.84375</v>
      </c>
      <c r="B214" s="1" t="s">
        <v>34</v>
      </c>
      <c r="C214" s="1" t="s">
        <v>2</v>
      </c>
      <c r="D214" s="1">
        <v>2.2000000000000002</v>
      </c>
      <c r="E214" s="1">
        <v>1.7</v>
      </c>
      <c r="F214" s="1">
        <v>2.5</v>
      </c>
      <c r="G214" s="1">
        <v>1.91</v>
      </c>
      <c r="H214" s="1">
        <v>-2.5</v>
      </c>
      <c r="I214" s="1">
        <v>1.91</v>
      </c>
      <c r="J214" s="5">
        <v>46273.476388888892</v>
      </c>
      <c r="K214" s="6">
        <v>15</v>
      </c>
    </row>
    <row r="215" spans="1:11" ht="13" x14ac:dyDescent="0.15">
      <c r="A215" s="5">
        <v>46375.708333333336</v>
      </c>
      <c r="B215" s="1" t="s">
        <v>44</v>
      </c>
      <c r="C215" s="1" t="s">
        <v>48</v>
      </c>
      <c r="D215" s="1">
        <v>2.0499999999999998</v>
      </c>
      <c r="E215" s="1">
        <v>1.8</v>
      </c>
      <c r="F215" s="1">
        <v>1.5</v>
      </c>
      <c r="G215" s="1">
        <v>1.91</v>
      </c>
      <c r="H215" s="1">
        <v>-1.5</v>
      </c>
      <c r="I215" s="1">
        <v>1.91</v>
      </c>
      <c r="J215" s="5">
        <v>46273.476388888892</v>
      </c>
      <c r="K215" s="6">
        <v>15</v>
      </c>
    </row>
    <row r="216" spans="1:11" ht="13" x14ac:dyDescent="0.15">
      <c r="A216" s="5">
        <v>46375.847222222219</v>
      </c>
      <c r="B216" s="1" t="s">
        <v>49</v>
      </c>
      <c r="C216" s="1" t="s">
        <v>51</v>
      </c>
      <c r="D216" s="1">
        <v>2.54</v>
      </c>
      <c r="E216" s="1">
        <v>1.54</v>
      </c>
      <c r="F216" s="1">
        <v>3.5</v>
      </c>
      <c r="G216" s="1">
        <v>1.91</v>
      </c>
      <c r="H216" s="1">
        <v>-3.5</v>
      </c>
      <c r="I216" s="1">
        <v>1.91</v>
      </c>
      <c r="J216" s="5">
        <v>46273.476388888892</v>
      </c>
      <c r="K216" s="6">
        <v>15</v>
      </c>
    </row>
    <row r="217" spans="1:11" ht="13" x14ac:dyDescent="0.15">
      <c r="A217" s="5">
        <v>46376.541666666664</v>
      </c>
      <c r="B217" s="1" t="s">
        <v>65</v>
      </c>
      <c r="C217" s="1" t="s">
        <v>62</v>
      </c>
      <c r="D217" s="1">
        <v>2.54</v>
      </c>
      <c r="E217" s="1">
        <v>1.54</v>
      </c>
      <c r="F217" s="1">
        <v>3.5</v>
      </c>
      <c r="G217" s="1">
        <v>1.91</v>
      </c>
      <c r="H217" s="1">
        <v>-3.5</v>
      </c>
      <c r="I217" s="1">
        <v>1.91</v>
      </c>
      <c r="J217" s="5">
        <v>46273.476388888892</v>
      </c>
      <c r="K217" s="6">
        <v>15</v>
      </c>
    </row>
    <row r="218" spans="1:11" ht="13" x14ac:dyDescent="0.15">
      <c r="A218" s="5">
        <v>46376.541666666664</v>
      </c>
      <c r="B218" s="1" t="s">
        <v>15</v>
      </c>
      <c r="C218" s="1" t="s">
        <v>59</v>
      </c>
      <c r="D218" s="1">
        <v>1.68</v>
      </c>
      <c r="E218" s="1">
        <v>2.2400000000000002</v>
      </c>
      <c r="F218" s="1">
        <v>-2.5</v>
      </c>
      <c r="G218" s="1">
        <v>1.83</v>
      </c>
      <c r="H218" s="1">
        <v>2.5</v>
      </c>
      <c r="I218" s="1">
        <v>2</v>
      </c>
      <c r="J218" s="5">
        <v>46273.476388888892</v>
      </c>
      <c r="K218" s="6">
        <v>15</v>
      </c>
    </row>
    <row r="219" spans="1:11" ht="13" x14ac:dyDescent="0.15">
      <c r="A219" s="5">
        <v>46376.541666666664</v>
      </c>
      <c r="B219" s="1" t="s">
        <v>47</v>
      </c>
      <c r="C219" s="1" t="s">
        <v>64</v>
      </c>
      <c r="D219" s="1">
        <v>1.68</v>
      </c>
      <c r="E219" s="1">
        <v>2.2400000000000002</v>
      </c>
      <c r="F219" s="1">
        <v>-2.5</v>
      </c>
      <c r="G219" s="1">
        <v>1.83</v>
      </c>
      <c r="H219" s="1">
        <v>2.5</v>
      </c>
      <c r="I219" s="1">
        <v>2</v>
      </c>
      <c r="J219" s="5">
        <v>46273.476388888892</v>
      </c>
      <c r="K219" s="6">
        <v>15</v>
      </c>
    </row>
    <row r="220" spans="1:11" ht="13" x14ac:dyDescent="0.15">
      <c r="A220" s="5">
        <v>46376.541666666664</v>
      </c>
      <c r="B220" s="1" t="s">
        <v>68</v>
      </c>
      <c r="C220" s="1" t="s">
        <v>60</v>
      </c>
      <c r="D220" s="1">
        <v>2.8</v>
      </c>
      <c r="E220" s="1">
        <v>1.46</v>
      </c>
      <c r="F220" s="1">
        <v>4.5</v>
      </c>
      <c r="G220" s="1">
        <v>1.91</v>
      </c>
      <c r="H220" s="1">
        <v>-4.5</v>
      </c>
      <c r="I220" s="1">
        <v>1.91</v>
      </c>
      <c r="J220" s="5">
        <v>46273.476388888892</v>
      </c>
      <c r="K220" s="6">
        <v>15</v>
      </c>
    </row>
    <row r="221" spans="1:11" ht="13" x14ac:dyDescent="0.15">
      <c r="A221" s="5">
        <v>46376.541666666664</v>
      </c>
      <c r="B221" s="1" t="s">
        <v>70</v>
      </c>
      <c r="C221" s="1" t="s">
        <v>50</v>
      </c>
      <c r="D221" s="1">
        <v>5.7</v>
      </c>
      <c r="E221" s="1">
        <v>1.1499999999999999</v>
      </c>
      <c r="F221" s="1">
        <v>10.5</v>
      </c>
      <c r="G221" s="1">
        <v>1.91</v>
      </c>
      <c r="H221" s="1">
        <v>-10.5</v>
      </c>
      <c r="I221" s="1">
        <v>1.91</v>
      </c>
      <c r="J221" s="5">
        <v>46273.476388888892</v>
      </c>
      <c r="K221" s="6">
        <v>15</v>
      </c>
    </row>
    <row r="222" spans="1:11" ht="13" x14ac:dyDescent="0.15">
      <c r="A222" s="5">
        <v>46376.541666666664</v>
      </c>
      <c r="B222" s="1" t="s">
        <v>12</v>
      </c>
      <c r="C222" s="1" t="s">
        <v>52</v>
      </c>
      <c r="D222" s="1">
        <v>2.36</v>
      </c>
      <c r="E222" s="1">
        <v>1.62</v>
      </c>
      <c r="F222" s="1">
        <v>3</v>
      </c>
      <c r="G222" s="1">
        <v>1.91</v>
      </c>
      <c r="H222" s="1">
        <v>-3</v>
      </c>
      <c r="I222" s="1">
        <v>1.91</v>
      </c>
      <c r="J222" s="5">
        <v>46273.476388888892</v>
      </c>
      <c r="K222" s="6">
        <v>15</v>
      </c>
    </row>
    <row r="223" spans="1:11" ht="13" x14ac:dyDescent="0.15">
      <c r="A223" s="5">
        <v>46376.541666666664</v>
      </c>
      <c r="B223" s="1" t="s">
        <v>45</v>
      </c>
      <c r="C223" s="1" t="s">
        <v>66</v>
      </c>
      <c r="D223" s="1">
        <v>1.8</v>
      </c>
      <c r="E223" s="1">
        <v>2.0499999999999998</v>
      </c>
      <c r="F223" s="1">
        <v>-1.5</v>
      </c>
      <c r="G223" s="1">
        <v>1.91</v>
      </c>
      <c r="H223" s="1">
        <v>1.5</v>
      </c>
      <c r="I223" s="1">
        <v>1.91</v>
      </c>
      <c r="J223" s="5">
        <v>46273.476388888892</v>
      </c>
      <c r="K223" s="6">
        <v>15</v>
      </c>
    </row>
    <row r="224" spans="1:11" ht="13" x14ac:dyDescent="0.15">
      <c r="A224" s="5">
        <v>46376.541666666664</v>
      </c>
      <c r="B224" s="1" t="s">
        <v>63</v>
      </c>
      <c r="C224" s="1" t="s">
        <v>61</v>
      </c>
      <c r="D224" s="1">
        <v>2.64</v>
      </c>
      <c r="E224" s="1">
        <v>1.51</v>
      </c>
      <c r="F224" s="1">
        <v>3.5</v>
      </c>
      <c r="G224" s="1">
        <v>1.91</v>
      </c>
      <c r="H224" s="1">
        <v>-3.5</v>
      </c>
      <c r="I224" s="1">
        <v>1.91</v>
      </c>
      <c r="J224" s="5">
        <v>46273.476388888892</v>
      </c>
      <c r="K224" s="6">
        <v>15</v>
      </c>
    </row>
    <row r="225" spans="1:11" ht="13" x14ac:dyDescent="0.15">
      <c r="A225" s="5">
        <v>46376.670138888891</v>
      </c>
      <c r="B225" s="1" t="s">
        <v>67</v>
      </c>
      <c r="C225" s="1" t="s">
        <v>69</v>
      </c>
      <c r="D225" s="1">
        <v>1.91</v>
      </c>
      <c r="E225" s="1">
        <v>1.91</v>
      </c>
      <c r="F225" s="1">
        <v>-1.5</v>
      </c>
      <c r="G225" s="1">
        <v>2.02</v>
      </c>
      <c r="H225" s="1">
        <v>1.5</v>
      </c>
      <c r="I225" s="1">
        <v>1.82</v>
      </c>
      <c r="J225" s="5">
        <v>46273.476388888892</v>
      </c>
      <c r="K225" s="6">
        <v>15</v>
      </c>
    </row>
    <row r="226" spans="1:11" ht="13" x14ac:dyDescent="0.15">
      <c r="A226" s="5">
        <v>46376.684027777781</v>
      </c>
      <c r="B226" s="1" t="s">
        <v>43</v>
      </c>
      <c r="C226" s="1" t="s">
        <v>41</v>
      </c>
      <c r="D226" s="1">
        <v>3</v>
      </c>
      <c r="E226" s="1">
        <v>1.41</v>
      </c>
      <c r="F226" s="1">
        <v>6</v>
      </c>
      <c r="G226" s="1">
        <v>1.91</v>
      </c>
      <c r="H226" s="1">
        <v>-6</v>
      </c>
      <c r="I226" s="1">
        <v>1.91</v>
      </c>
      <c r="J226" s="5">
        <v>46273.476388888892</v>
      </c>
      <c r="K226" s="6">
        <v>15</v>
      </c>
    </row>
    <row r="227" spans="1:11" ht="13" x14ac:dyDescent="0.15">
      <c r="A227" s="5">
        <v>46376.684027777781</v>
      </c>
      <c r="B227" s="1" t="s">
        <v>42</v>
      </c>
      <c r="C227" s="1" t="s">
        <v>18</v>
      </c>
      <c r="D227" s="1">
        <v>1.49</v>
      </c>
      <c r="E227" s="1">
        <v>2.7</v>
      </c>
      <c r="F227" s="1">
        <v>-4.5</v>
      </c>
      <c r="G227" s="1">
        <v>1.91</v>
      </c>
      <c r="H227" s="1">
        <v>4.5</v>
      </c>
      <c r="I227" s="1">
        <v>1.91</v>
      </c>
      <c r="J227" s="5">
        <v>46273.476388888892</v>
      </c>
      <c r="K227" s="6">
        <v>15</v>
      </c>
    </row>
    <row r="228" spans="1:11" ht="13" x14ac:dyDescent="0.15">
      <c r="A228" s="5">
        <v>46376.847222222219</v>
      </c>
      <c r="B228" s="1" t="s">
        <v>22</v>
      </c>
      <c r="C228" s="1" t="s">
        <v>37</v>
      </c>
      <c r="D228" s="1">
        <v>1.8</v>
      </c>
      <c r="E228" s="1">
        <v>2.0499999999999998</v>
      </c>
      <c r="F228" s="1">
        <v>-1.5</v>
      </c>
      <c r="G228" s="1">
        <v>1.91</v>
      </c>
      <c r="H228" s="1">
        <v>1.5</v>
      </c>
      <c r="I228" s="1">
        <v>1.91</v>
      </c>
      <c r="J228" s="5">
        <v>46273.476388888892</v>
      </c>
      <c r="K228" s="6">
        <v>15</v>
      </c>
    </row>
    <row r="229" spans="1:11" ht="13" x14ac:dyDescent="0.15">
      <c r="A229" s="5">
        <v>46377.84375</v>
      </c>
      <c r="B229" s="1" t="s">
        <v>40</v>
      </c>
      <c r="C229" s="1" t="s">
        <v>46</v>
      </c>
      <c r="D229" s="1">
        <v>2.2000000000000002</v>
      </c>
      <c r="E229" s="1">
        <v>1.7</v>
      </c>
      <c r="F229" s="1">
        <v>2.5</v>
      </c>
      <c r="G229" s="1">
        <v>1.91</v>
      </c>
      <c r="H229" s="1">
        <v>-2.5</v>
      </c>
      <c r="I229" s="1">
        <v>1.91</v>
      </c>
      <c r="J229" s="5">
        <v>46273.476388888892</v>
      </c>
      <c r="K229" s="6">
        <v>15</v>
      </c>
    </row>
    <row r="230" spans="1:11" ht="13" x14ac:dyDescent="0.15">
      <c r="A230" s="5">
        <v>46380.84375</v>
      </c>
      <c r="B230" s="1" t="s">
        <v>52</v>
      </c>
      <c r="C230" s="1" t="s">
        <v>48</v>
      </c>
      <c r="D230" s="1">
        <v>2.14</v>
      </c>
      <c r="E230" s="1">
        <v>1.74</v>
      </c>
      <c r="F230" s="1">
        <v>2.5</v>
      </c>
      <c r="G230" s="1">
        <v>1.89</v>
      </c>
      <c r="H230" s="1">
        <v>-2.5</v>
      </c>
      <c r="I230" s="1">
        <v>1.93</v>
      </c>
      <c r="J230" s="5">
        <v>46273.476388888892</v>
      </c>
      <c r="K230" s="6">
        <v>16</v>
      </c>
    </row>
    <row r="231" spans="1:11" ht="13" x14ac:dyDescent="0.15">
      <c r="A231" s="5">
        <v>46381.541666666664</v>
      </c>
      <c r="B231" s="1" t="s">
        <v>50</v>
      </c>
      <c r="C231" s="1" t="s">
        <v>49</v>
      </c>
      <c r="D231" s="1">
        <v>1.98</v>
      </c>
      <c r="E231" s="1">
        <v>1.85</v>
      </c>
      <c r="F231" s="1">
        <v>1.5</v>
      </c>
      <c r="G231" s="1">
        <v>1.87</v>
      </c>
      <c r="H231" s="1">
        <v>-1.5</v>
      </c>
      <c r="I231" s="1">
        <v>1.95</v>
      </c>
      <c r="J231" s="5">
        <v>46273.476388888892</v>
      </c>
      <c r="K231" s="6">
        <v>16</v>
      </c>
    </row>
    <row r="232" spans="1:11" ht="13" x14ac:dyDescent="0.15">
      <c r="A232" s="5">
        <v>46381.6875</v>
      </c>
      <c r="B232" s="1" t="s">
        <v>51</v>
      </c>
      <c r="C232" s="1" t="s">
        <v>42</v>
      </c>
      <c r="D232" s="1">
        <v>1.77</v>
      </c>
      <c r="E232" s="1">
        <v>2.1</v>
      </c>
      <c r="F232" s="1">
        <v>-1.5</v>
      </c>
      <c r="G232" s="1">
        <v>1.87</v>
      </c>
      <c r="H232" s="1">
        <v>1.5</v>
      </c>
      <c r="I232" s="1">
        <v>1.95</v>
      </c>
      <c r="J232" s="5">
        <v>46273.476388888892</v>
      </c>
      <c r="K232" s="6">
        <v>16</v>
      </c>
    </row>
    <row r="233" spans="1:11" ht="13" x14ac:dyDescent="0.15">
      <c r="A233" s="5">
        <v>46381.84375</v>
      </c>
      <c r="B233" s="1" t="s">
        <v>41</v>
      </c>
      <c r="C233" s="1" t="s">
        <v>44</v>
      </c>
      <c r="D233" s="1">
        <v>2.1</v>
      </c>
      <c r="E233" s="1">
        <v>1.77</v>
      </c>
      <c r="F233" s="1">
        <v>1.5</v>
      </c>
      <c r="G233" s="1">
        <v>1.95</v>
      </c>
      <c r="H233" s="1">
        <v>-1.5</v>
      </c>
      <c r="I233" s="1">
        <v>1.87</v>
      </c>
      <c r="J233" s="5">
        <v>46273.476388888892</v>
      </c>
      <c r="K233" s="6">
        <v>16</v>
      </c>
    </row>
    <row r="234" spans="1:11" ht="13" x14ac:dyDescent="0.15">
      <c r="A234" s="5">
        <v>46383.541666666664</v>
      </c>
      <c r="B234" s="1" t="s">
        <v>69</v>
      </c>
      <c r="C234" s="1" t="s">
        <v>63</v>
      </c>
      <c r="D234" s="1">
        <v>3.05</v>
      </c>
      <c r="E234" s="1">
        <v>1.4</v>
      </c>
      <c r="F234" s="1">
        <v>5.5</v>
      </c>
      <c r="G234" s="1">
        <v>1.91</v>
      </c>
      <c r="H234" s="1">
        <v>-5.5</v>
      </c>
      <c r="I234" s="1">
        <v>1.91</v>
      </c>
      <c r="J234" s="5">
        <v>46273.476388888892</v>
      </c>
      <c r="K234" s="6">
        <v>16</v>
      </c>
    </row>
    <row r="235" spans="1:11" ht="13" x14ac:dyDescent="0.15">
      <c r="A235" s="5">
        <v>46383.541666666664</v>
      </c>
      <c r="B235" s="1" t="s">
        <v>61</v>
      </c>
      <c r="C235" s="1" t="s">
        <v>65</v>
      </c>
      <c r="D235" s="1">
        <v>1.8</v>
      </c>
      <c r="E235" s="1">
        <v>2.0499999999999998</v>
      </c>
      <c r="F235" s="1">
        <v>-1.5</v>
      </c>
      <c r="G235" s="1">
        <v>1.91</v>
      </c>
      <c r="H235" s="1">
        <v>1.5</v>
      </c>
      <c r="I235" s="1">
        <v>1.91</v>
      </c>
      <c r="J235" s="5">
        <v>46273.476388888892</v>
      </c>
      <c r="K235" s="6">
        <v>16</v>
      </c>
    </row>
    <row r="236" spans="1:11" ht="13" x14ac:dyDescent="0.15">
      <c r="A236" s="5">
        <v>46383.541666666664</v>
      </c>
      <c r="B236" s="1" t="s">
        <v>68</v>
      </c>
      <c r="C236" s="1" t="s">
        <v>15</v>
      </c>
      <c r="D236" s="1">
        <v>4.3</v>
      </c>
      <c r="E236" s="1">
        <v>1.24</v>
      </c>
      <c r="F236" s="1">
        <v>10</v>
      </c>
      <c r="G236" s="1">
        <v>1.91</v>
      </c>
      <c r="H236" s="1">
        <v>-10</v>
      </c>
      <c r="I236" s="1">
        <v>1.91</v>
      </c>
      <c r="J236" s="5">
        <v>46273.476388888892</v>
      </c>
      <c r="K236" s="6">
        <v>16</v>
      </c>
    </row>
    <row r="237" spans="1:11" ht="13" x14ac:dyDescent="0.15">
      <c r="A237" s="5">
        <v>46383.541666666664</v>
      </c>
      <c r="B237" s="1" t="s">
        <v>64</v>
      </c>
      <c r="C237" s="1" t="s">
        <v>59</v>
      </c>
      <c r="D237" s="1">
        <v>2.6</v>
      </c>
      <c r="E237" s="1">
        <v>1.52</v>
      </c>
      <c r="F237" s="1">
        <v>3.5</v>
      </c>
      <c r="G237" s="1">
        <v>1.91</v>
      </c>
      <c r="H237" s="1">
        <v>-3.5</v>
      </c>
      <c r="I237" s="1">
        <v>1.91</v>
      </c>
      <c r="J237" s="5">
        <v>46273.476388888892</v>
      </c>
      <c r="K237" s="6">
        <v>16</v>
      </c>
    </row>
    <row r="238" spans="1:11" ht="13" x14ac:dyDescent="0.15">
      <c r="A238" s="5">
        <v>46383.541666666664</v>
      </c>
      <c r="B238" s="1" t="s">
        <v>47</v>
      </c>
      <c r="C238" s="1" t="s">
        <v>45</v>
      </c>
      <c r="D238" s="1">
        <v>1.8</v>
      </c>
      <c r="E238" s="1">
        <v>2.0499999999999998</v>
      </c>
      <c r="F238" s="1">
        <v>-1.5</v>
      </c>
      <c r="G238" s="1">
        <v>1.91</v>
      </c>
      <c r="H238" s="1">
        <v>1.5</v>
      </c>
      <c r="I238" s="1">
        <v>1.91</v>
      </c>
      <c r="J238" s="5">
        <v>46273.476388888892</v>
      </c>
      <c r="K238" s="6">
        <v>16</v>
      </c>
    </row>
    <row r="239" spans="1:11" ht="13" x14ac:dyDescent="0.15">
      <c r="A239" s="5">
        <v>46383.541666666664</v>
      </c>
      <c r="B239" s="1" t="s">
        <v>66</v>
      </c>
      <c r="C239" s="1" t="s">
        <v>18</v>
      </c>
      <c r="D239" s="1">
        <v>2.0499999999999998</v>
      </c>
      <c r="E239" s="1">
        <v>1.8</v>
      </c>
      <c r="F239" s="1">
        <v>1.5</v>
      </c>
      <c r="G239" s="1">
        <v>1.91</v>
      </c>
      <c r="H239" s="1">
        <v>-1.5</v>
      </c>
      <c r="I239" s="1">
        <v>1.91</v>
      </c>
      <c r="J239" s="5">
        <v>46273.476388888892</v>
      </c>
      <c r="K239" s="6">
        <v>16</v>
      </c>
    </row>
    <row r="240" spans="1:11" ht="13" x14ac:dyDescent="0.15">
      <c r="A240" s="5">
        <v>46383.541666666664</v>
      </c>
      <c r="B240" s="1" t="s">
        <v>2</v>
      </c>
      <c r="C240" s="1" t="s">
        <v>70</v>
      </c>
      <c r="D240" s="1">
        <v>1.28</v>
      </c>
      <c r="E240" s="1">
        <v>3.85</v>
      </c>
      <c r="F240" s="1">
        <v>-7</v>
      </c>
      <c r="G240" s="1">
        <v>1.89</v>
      </c>
      <c r="H240" s="1">
        <v>7</v>
      </c>
      <c r="I240" s="1">
        <v>1.93</v>
      </c>
      <c r="J240" s="5">
        <v>46273.476388888892</v>
      </c>
      <c r="K240" s="6">
        <v>16</v>
      </c>
    </row>
    <row r="241" spans="1:11" ht="13" x14ac:dyDescent="0.15">
      <c r="A241" s="5">
        <v>46383.541666666664</v>
      </c>
      <c r="B241" s="1" t="s">
        <v>62</v>
      </c>
      <c r="C241" s="1" t="s">
        <v>37</v>
      </c>
      <c r="D241" s="1">
        <v>2.14</v>
      </c>
      <c r="E241" s="1">
        <v>1.74</v>
      </c>
      <c r="F241" s="1">
        <v>2.5</v>
      </c>
      <c r="G241" s="1">
        <v>1.91</v>
      </c>
      <c r="H241" s="1">
        <v>-2.5</v>
      </c>
      <c r="I241" s="1">
        <v>1.91</v>
      </c>
      <c r="J241" s="5">
        <v>46273.476388888892</v>
      </c>
      <c r="K241" s="6">
        <v>16</v>
      </c>
    </row>
    <row r="242" spans="1:11" ht="13" x14ac:dyDescent="0.15">
      <c r="A242" s="5">
        <v>46383.541666666664</v>
      </c>
      <c r="B242" s="1" t="s">
        <v>40</v>
      </c>
      <c r="C242" s="1" t="s">
        <v>67</v>
      </c>
      <c r="D242" s="1">
        <v>1.37</v>
      </c>
      <c r="E242" s="1">
        <v>3.2</v>
      </c>
      <c r="F242" s="1">
        <v>-6.5</v>
      </c>
      <c r="G242" s="1">
        <v>1.91</v>
      </c>
      <c r="H242" s="1">
        <v>6.5</v>
      </c>
      <c r="I242" s="1">
        <v>1.91</v>
      </c>
      <c r="J242" s="5">
        <v>46273.476388888892</v>
      </c>
      <c r="K242" s="6">
        <v>16</v>
      </c>
    </row>
    <row r="243" spans="1:11" ht="13" x14ac:dyDescent="0.15">
      <c r="A243" s="5">
        <v>46383.684027777781</v>
      </c>
      <c r="B243" s="1" t="s">
        <v>34</v>
      </c>
      <c r="C243" s="1" t="s">
        <v>46</v>
      </c>
      <c r="D243" s="1">
        <v>2.36</v>
      </c>
      <c r="E243" s="1">
        <v>1.62</v>
      </c>
      <c r="F243" s="1">
        <v>3</v>
      </c>
      <c r="G243" s="1">
        <v>1.85</v>
      </c>
      <c r="H243" s="1">
        <v>-3</v>
      </c>
      <c r="I243" s="1">
        <v>1.98</v>
      </c>
      <c r="J243" s="5">
        <v>46273.476388888892</v>
      </c>
      <c r="K243" s="6">
        <v>16</v>
      </c>
    </row>
    <row r="244" spans="1:11" ht="13" x14ac:dyDescent="0.15">
      <c r="A244" s="5">
        <v>46383.847222222219</v>
      </c>
      <c r="B244" s="1" t="s">
        <v>12</v>
      </c>
      <c r="C244" s="1" t="s">
        <v>43</v>
      </c>
      <c r="D244" s="1">
        <v>2.36</v>
      </c>
      <c r="E244" s="1">
        <v>1.62</v>
      </c>
      <c r="F244" s="1">
        <v>3</v>
      </c>
      <c r="G244" s="1">
        <v>1.85</v>
      </c>
      <c r="H244" s="1">
        <v>-3</v>
      </c>
      <c r="I244" s="1">
        <v>1.98</v>
      </c>
      <c r="J244" s="5">
        <v>46273.476388888892</v>
      </c>
      <c r="K244" s="6">
        <v>16</v>
      </c>
    </row>
    <row r="245" spans="1:11" ht="13" x14ac:dyDescent="0.15">
      <c r="A245" s="5">
        <v>46384.84375</v>
      </c>
      <c r="B245" s="1" t="s">
        <v>60</v>
      </c>
      <c r="C245" s="1" t="s">
        <v>22</v>
      </c>
      <c r="D245" s="1">
        <v>2.7</v>
      </c>
      <c r="E245" s="1">
        <v>1.49</v>
      </c>
      <c r="F245" s="1">
        <v>4.5</v>
      </c>
      <c r="G245" s="1">
        <v>1.91</v>
      </c>
      <c r="H245" s="1">
        <v>-4.5</v>
      </c>
      <c r="I245" s="1">
        <v>1.91</v>
      </c>
      <c r="J245" s="5">
        <v>46273.476388888892</v>
      </c>
      <c r="K245" s="6">
        <v>16</v>
      </c>
    </row>
    <row r="246" spans="1:11" ht="13" x14ac:dyDescent="0.15">
      <c r="A246" s="5">
        <v>46387.84375</v>
      </c>
      <c r="B246" s="1" t="s">
        <v>15</v>
      </c>
      <c r="C246" s="1" t="s">
        <v>47</v>
      </c>
      <c r="D246" s="1">
        <v>2.14</v>
      </c>
      <c r="E246" s="1">
        <v>1.74</v>
      </c>
      <c r="F246" s="1">
        <v>2.5</v>
      </c>
      <c r="G246" s="1">
        <v>1.91</v>
      </c>
      <c r="H246" s="1">
        <v>-2.5</v>
      </c>
      <c r="I246" s="1">
        <v>1.91</v>
      </c>
      <c r="J246" s="5">
        <v>46273.476388888892</v>
      </c>
      <c r="K246" s="6">
        <v>17</v>
      </c>
    </row>
    <row r="247" spans="1:11" ht="13" x14ac:dyDescent="0.15">
      <c r="A247" s="5">
        <v>46025.541666666664</v>
      </c>
      <c r="B247" s="1" t="s">
        <v>63</v>
      </c>
      <c r="C247" s="1" t="s">
        <v>65</v>
      </c>
      <c r="D247" s="1">
        <v>2.02</v>
      </c>
      <c r="E247" s="1">
        <v>1.82</v>
      </c>
      <c r="F247" s="1">
        <v>1.5</v>
      </c>
      <c r="G247" s="1">
        <v>1.91</v>
      </c>
      <c r="H247" s="1">
        <v>-1.5</v>
      </c>
      <c r="I247" s="1">
        <v>1.91</v>
      </c>
      <c r="J247" s="5">
        <v>46273.476388888892</v>
      </c>
      <c r="K247" s="6">
        <v>17</v>
      </c>
    </row>
    <row r="248" spans="1:11" ht="13" x14ac:dyDescent="0.15">
      <c r="A248" s="5">
        <v>46025.541666666664</v>
      </c>
      <c r="B248" s="1" t="s">
        <v>51</v>
      </c>
      <c r="C248" s="1" t="s">
        <v>70</v>
      </c>
      <c r="D248" s="1">
        <v>1.26</v>
      </c>
      <c r="E248" s="1">
        <v>4</v>
      </c>
      <c r="F248" s="1">
        <v>-7.5</v>
      </c>
      <c r="G248" s="1">
        <v>1.91</v>
      </c>
      <c r="H248" s="1">
        <v>7.5</v>
      </c>
      <c r="I248" s="1">
        <v>1.91</v>
      </c>
      <c r="J248" s="5">
        <v>46273.476388888892</v>
      </c>
      <c r="K248" s="6">
        <v>17</v>
      </c>
    </row>
    <row r="249" spans="1:11" ht="13" x14ac:dyDescent="0.15">
      <c r="A249" s="5">
        <v>46025.541666666664</v>
      </c>
      <c r="B249" s="1" t="s">
        <v>44</v>
      </c>
      <c r="C249" s="1" t="s">
        <v>64</v>
      </c>
      <c r="D249" s="1">
        <v>1.41</v>
      </c>
      <c r="E249" s="1">
        <v>3</v>
      </c>
      <c r="F249" s="1">
        <v>-5.5</v>
      </c>
      <c r="G249" s="1">
        <v>1.91</v>
      </c>
      <c r="H249" s="1">
        <v>5.5</v>
      </c>
      <c r="I249" s="1">
        <v>1.91</v>
      </c>
      <c r="J249" s="5">
        <v>46273.476388888892</v>
      </c>
      <c r="K249" s="6">
        <v>17</v>
      </c>
    </row>
    <row r="250" spans="1:11" ht="13" x14ac:dyDescent="0.15">
      <c r="A250" s="5">
        <v>46025.541666666664</v>
      </c>
      <c r="B250" s="1" t="s">
        <v>45</v>
      </c>
      <c r="C250" s="1" t="s">
        <v>68</v>
      </c>
      <c r="D250" s="1">
        <v>1.74</v>
      </c>
      <c r="E250" s="1">
        <v>2.14</v>
      </c>
      <c r="F250" s="1">
        <v>-2.5</v>
      </c>
      <c r="G250" s="1">
        <v>1.91</v>
      </c>
      <c r="H250" s="1">
        <v>2.5</v>
      </c>
      <c r="I250" s="1">
        <v>1.91</v>
      </c>
      <c r="J250" s="5">
        <v>46273.476388888892</v>
      </c>
      <c r="K250" s="6">
        <v>17</v>
      </c>
    </row>
    <row r="251" spans="1:11" ht="13" x14ac:dyDescent="0.15">
      <c r="A251" s="5">
        <v>46025.541666666664</v>
      </c>
      <c r="B251" s="1" t="s">
        <v>60</v>
      </c>
      <c r="C251" s="1" t="s">
        <v>43</v>
      </c>
      <c r="D251" s="1">
        <v>2.8</v>
      </c>
      <c r="E251" s="1">
        <v>1.46</v>
      </c>
      <c r="F251" s="1">
        <v>4.5</v>
      </c>
      <c r="G251" s="1">
        <v>1.91</v>
      </c>
      <c r="H251" s="1">
        <v>-4.5</v>
      </c>
      <c r="I251" s="1">
        <v>1.91</v>
      </c>
      <c r="J251" s="5">
        <v>46273.476388888892</v>
      </c>
      <c r="K251" s="6">
        <v>17</v>
      </c>
    </row>
    <row r="252" spans="1:11" ht="13" x14ac:dyDescent="0.15">
      <c r="A252" s="5">
        <v>46025.541666666664</v>
      </c>
      <c r="B252" s="1" t="s">
        <v>42</v>
      </c>
      <c r="C252" s="1" t="s">
        <v>40</v>
      </c>
      <c r="D252" s="1">
        <v>2.14</v>
      </c>
      <c r="E252" s="1">
        <v>1.74</v>
      </c>
      <c r="F252" s="1">
        <v>2.5</v>
      </c>
      <c r="G252" s="1">
        <v>1.91</v>
      </c>
      <c r="H252" s="1">
        <v>-2.5</v>
      </c>
      <c r="I252" s="1">
        <v>1.91</v>
      </c>
      <c r="J252" s="5">
        <v>46273.476388888892</v>
      </c>
      <c r="K252" s="6">
        <v>17</v>
      </c>
    </row>
    <row r="253" spans="1:11" ht="13" x14ac:dyDescent="0.15">
      <c r="A253" s="5">
        <v>46025.541666666664</v>
      </c>
      <c r="B253" s="1" t="s">
        <v>62</v>
      </c>
      <c r="C253" s="1" t="s">
        <v>12</v>
      </c>
      <c r="D253" s="1">
        <v>2.54</v>
      </c>
      <c r="E253" s="1">
        <v>1.54</v>
      </c>
      <c r="F253" s="1">
        <v>3.5</v>
      </c>
      <c r="G253" s="1">
        <v>1.91</v>
      </c>
      <c r="H253" s="1">
        <v>-3.5</v>
      </c>
      <c r="I253" s="1">
        <v>1.91</v>
      </c>
      <c r="J253" s="5">
        <v>46273.476388888892</v>
      </c>
      <c r="K253" s="6">
        <v>17</v>
      </c>
    </row>
    <row r="254" spans="1:11" ht="13" x14ac:dyDescent="0.15">
      <c r="A254" s="5">
        <v>46025.541666666664</v>
      </c>
      <c r="B254" s="1" t="s">
        <v>41</v>
      </c>
      <c r="C254" s="1" t="s">
        <v>61</v>
      </c>
      <c r="D254" s="1">
        <v>1.46</v>
      </c>
      <c r="E254" s="1">
        <v>2.8</v>
      </c>
      <c r="F254" s="1">
        <v>-4.5</v>
      </c>
      <c r="G254" s="1">
        <v>1.91</v>
      </c>
      <c r="H254" s="1">
        <v>4.5</v>
      </c>
      <c r="I254" s="1">
        <v>1.91</v>
      </c>
      <c r="J254" s="5">
        <v>46273.476388888892</v>
      </c>
      <c r="K254" s="6">
        <v>17</v>
      </c>
    </row>
    <row r="255" spans="1:11" ht="13" x14ac:dyDescent="0.15">
      <c r="A255" s="5">
        <v>46025.541666666664</v>
      </c>
      <c r="B255" s="1" t="s">
        <v>37</v>
      </c>
      <c r="C255" s="1" t="s">
        <v>67</v>
      </c>
      <c r="D255" s="1">
        <v>1.54</v>
      </c>
      <c r="E255" s="1">
        <v>2.54</v>
      </c>
      <c r="F255" s="1">
        <v>-3.5</v>
      </c>
      <c r="G255" s="1">
        <v>1.91</v>
      </c>
      <c r="H255" s="1">
        <v>3.5</v>
      </c>
      <c r="I255" s="1">
        <v>1.91</v>
      </c>
      <c r="J255" s="5">
        <v>46273.476388888892</v>
      </c>
      <c r="K255" s="6">
        <v>17</v>
      </c>
    </row>
    <row r="256" spans="1:11" ht="13" x14ac:dyDescent="0.15">
      <c r="A256" s="5">
        <v>46025.541666666664</v>
      </c>
      <c r="B256" s="1" t="s">
        <v>59</v>
      </c>
      <c r="C256" s="1" t="s">
        <v>66</v>
      </c>
      <c r="D256" s="1">
        <v>1.8</v>
      </c>
      <c r="E256" s="1">
        <v>2.0499999999999998</v>
      </c>
      <c r="F256" s="1">
        <v>-1.5</v>
      </c>
      <c r="G256" s="1">
        <v>1.91</v>
      </c>
      <c r="H256" s="1">
        <v>1.5</v>
      </c>
      <c r="I256" s="1">
        <v>1.91</v>
      </c>
      <c r="J256" s="5">
        <v>46273.476388888892</v>
      </c>
      <c r="K256" s="6">
        <v>17</v>
      </c>
    </row>
    <row r="257" spans="1:11" ht="13" x14ac:dyDescent="0.15">
      <c r="A257" s="5">
        <v>46025.670138888891</v>
      </c>
      <c r="B257" s="1" t="s">
        <v>18</v>
      </c>
      <c r="C257" s="1" t="s">
        <v>69</v>
      </c>
      <c r="D257" s="1">
        <v>1.77</v>
      </c>
      <c r="E257" s="1">
        <v>2.1</v>
      </c>
      <c r="F257" s="1">
        <v>-1.5</v>
      </c>
      <c r="G257" s="1">
        <v>1.87</v>
      </c>
      <c r="H257" s="1">
        <v>1.5</v>
      </c>
      <c r="I257" s="1">
        <v>1.95</v>
      </c>
      <c r="J257" s="5">
        <v>46273.476388888892</v>
      </c>
      <c r="K257" s="6">
        <v>17</v>
      </c>
    </row>
    <row r="258" spans="1:11" ht="13" x14ac:dyDescent="0.15">
      <c r="A258" s="5">
        <v>46025.684027777781</v>
      </c>
      <c r="B258" s="1" t="s">
        <v>22</v>
      </c>
      <c r="C258" s="1" t="s">
        <v>49</v>
      </c>
      <c r="D258" s="1">
        <v>2.02</v>
      </c>
      <c r="E258" s="1">
        <v>1.82</v>
      </c>
      <c r="F258" s="1">
        <v>1.5</v>
      </c>
      <c r="G258" s="1">
        <v>1.91</v>
      </c>
      <c r="H258" s="1">
        <v>-1.5</v>
      </c>
      <c r="I258" s="1">
        <v>1.91</v>
      </c>
      <c r="J258" s="5">
        <v>46273.476388888892</v>
      </c>
      <c r="K258" s="6">
        <v>17</v>
      </c>
    </row>
    <row r="259" spans="1:11" ht="13" x14ac:dyDescent="0.15">
      <c r="A259" s="5">
        <v>46025.684027777781</v>
      </c>
      <c r="B259" s="1" t="s">
        <v>46</v>
      </c>
      <c r="C259" s="1" t="s">
        <v>2</v>
      </c>
      <c r="D259" s="1">
        <v>2.0499999999999998</v>
      </c>
      <c r="E259" s="1">
        <v>1.8</v>
      </c>
      <c r="F259" s="1">
        <v>1.5</v>
      </c>
      <c r="G259" s="1">
        <v>1.91</v>
      </c>
      <c r="H259" s="1">
        <v>-1.5</v>
      </c>
      <c r="I259" s="1">
        <v>1.91</v>
      </c>
      <c r="J259" s="5">
        <v>46273.476388888892</v>
      </c>
      <c r="K259" s="6">
        <v>17</v>
      </c>
    </row>
    <row r="260" spans="1:11" ht="13" x14ac:dyDescent="0.15">
      <c r="A260" s="5">
        <v>46025.847222222219</v>
      </c>
      <c r="B260" s="1" t="s">
        <v>48</v>
      </c>
      <c r="C260" s="1" t="s">
        <v>34</v>
      </c>
      <c r="D260" s="1">
        <v>2.0499999999999998</v>
      </c>
      <c r="E260" s="1">
        <v>1.8</v>
      </c>
      <c r="F260" s="1">
        <v>1.5</v>
      </c>
      <c r="G260" s="1">
        <v>1.91</v>
      </c>
      <c r="H260" s="1">
        <v>-1.5</v>
      </c>
      <c r="I260" s="1">
        <v>1.91</v>
      </c>
      <c r="J260" s="5">
        <v>46273.476388888892</v>
      </c>
      <c r="K260" s="6">
        <v>17</v>
      </c>
    </row>
    <row r="261" spans="1:11" ht="13" x14ac:dyDescent="0.15">
      <c r="A261" s="5">
        <v>46026.84375</v>
      </c>
      <c r="B261" s="1" t="s">
        <v>52</v>
      </c>
      <c r="C261" s="1" t="s">
        <v>50</v>
      </c>
      <c r="D261" s="1">
        <v>2.14</v>
      </c>
      <c r="E261" s="1">
        <v>1.74</v>
      </c>
      <c r="F261" s="1">
        <v>2.5</v>
      </c>
      <c r="G261" s="1">
        <v>1.91</v>
      </c>
      <c r="H261" s="1">
        <v>-2.5</v>
      </c>
      <c r="I261" s="1">
        <v>1.91</v>
      </c>
      <c r="J261" s="5">
        <v>46273.476388888892</v>
      </c>
      <c r="K261" s="6">
        <v>17</v>
      </c>
    </row>
    <row r="262" spans="1:11" ht="13" x14ac:dyDescent="0.15">
      <c r="A262" s="5">
        <v>46032.541666666664</v>
      </c>
      <c r="B262" s="1" t="s">
        <v>65</v>
      </c>
      <c r="C262" s="1" t="s">
        <v>64</v>
      </c>
      <c r="D262" s="1">
        <v>2.14</v>
      </c>
      <c r="E262" s="1">
        <v>1.74</v>
      </c>
      <c r="F262" s="1">
        <v>2.5</v>
      </c>
      <c r="G262" s="1">
        <v>1.91</v>
      </c>
      <c r="H262" s="1">
        <v>-2.5</v>
      </c>
      <c r="I262" s="1">
        <v>1.91</v>
      </c>
      <c r="J262" s="5">
        <v>46273.476388888892</v>
      </c>
      <c r="K262" s="6">
        <v>18</v>
      </c>
    </row>
    <row r="263" spans="1:11" ht="13" x14ac:dyDescent="0.15">
      <c r="A263" s="5">
        <v>46032.541666666664</v>
      </c>
      <c r="B263" s="1" t="s">
        <v>59</v>
      </c>
      <c r="C263" s="1" t="s">
        <v>15</v>
      </c>
      <c r="D263" s="1">
        <v>2.9</v>
      </c>
      <c r="E263" s="1">
        <v>1.43</v>
      </c>
      <c r="F263" s="1">
        <v>5.5</v>
      </c>
      <c r="G263" s="1">
        <v>1.91</v>
      </c>
      <c r="H263" s="1">
        <v>-5.5</v>
      </c>
      <c r="I263" s="1">
        <v>1.91</v>
      </c>
      <c r="J263" s="5">
        <v>46273.476388888892</v>
      </c>
      <c r="K263" s="6">
        <v>18</v>
      </c>
    </row>
    <row r="264" spans="1:11" ht="13" x14ac:dyDescent="0.15">
      <c r="A264" s="5">
        <v>46032.541666666664</v>
      </c>
      <c r="B264" s="1" t="s">
        <v>67</v>
      </c>
      <c r="C264" s="1" t="s">
        <v>51</v>
      </c>
      <c r="D264" s="1">
        <v>4.5999999999999996</v>
      </c>
      <c r="E264" s="1">
        <v>1.21</v>
      </c>
      <c r="F264" s="1">
        <v>10</v>
      </c>
      <c r="G264" s="1">
        <v>1.91</v>
      </c>
      <c r="H264" s="1">
        <v>-10</v>
      </c>
      <c r="I264" s="1">
        <v>1.91</v>
      </c>
      <c r="J264" s="5">
        <v>46273.476388888892</v>
      </c>
      <c r="K264" s="6">
        <v>18</v>
      </c>
    </row>
    <row r="265" spans="1:11" ht="13" x14ac:dyDescent="0.15">
      <c r="A265" s="5">
        <v>46032.541666666664</v>
      </c>
      <c r="B265" s="1" t="s">
        <v>49</v>
      </c>
      <c r="C265" s="1" t="s">
        <v>37</v>
      </c>
      <c r="D265" s="1">
        <v>2.02</v>
      </c>
      <c r="E265" s="1">
        <v>1.82</v>
      </c>
      <c r="F265" s="1">
        <v>1.5</v>
      </c>
      <c r="G265" s="1">
        <v>1.91</v>
      </c>
      <c r="H265" s="1">
        <v>-1.5</v>
      </c>
      <c r="I265" s="1">
        <v>1.91</v>
      </c>
      <c r="J265" s="5">
        <v>46273.476388888892</v>
      </c>
      <c r="K265" s="6">
        <v>18</v>
      </c>
    </row>
    <row r="266" spans="1:11" ht="13" x14ac:dyDescent="0.15">
      <c r="A266" s="5">
        <v>46032.541666666664</v>
      </c>
      <c r="B266" s="1" t="s">
        <v>68</v>
      </c>
      <c r="C266" s="1" t="s">
        <v>47</v>
      </c>
      <c r="D266" s="1">
        <v>3.85</v>
      </c>
      <c r="E266" s="1">
        <v>1.28</v>
      </c>
      <c r="F266" s="1">
        <v>7.5</v>
      </c>
      <c r="G266" s="1">
        <v>1.91</v>
      </c>
      <c r="H266" s="1">
        <v>-7.5</v>
      </c>
      <c r="I266" s="1">
        <v>1.91</v>
      </c>
      <c r="J266" s="5">
        <v>46273.476388888892</v>
      </c>
      <c r="K266" s="6">
        <v>18</v>
      </c>
    </row>
    <row r="267" spans="1:11" ht="13" x14ac:dyDescent="0.15">
      <c r="A267" s="5">
        <v>46032.541666666664</v>
      </c>
      <c r="B267" s="1" t="s">
        <v>43</v>
      </c>
      <c r="C267" s="1" t="s">
        <v>62</v>
      </c>
      <c r="D267" s="1">
        <v>1.82</v>
      </c>
      <c r="E267" s="1">
        <v>2.02</v>
      </c>
      <c r="F267" s="1">
        <v>-1.5</v>
      </c>
      <c r="G267" s="1">
        <v>1.91</v>
      </c>
      <c r="H267" s="1">
        <v>1.5</v>
      </c>
      <c r="I267" s="1">
        <v>1.91</v>
      </c>
      <c r="J267" s="5">
        <v>46273.476388888892</v>
      </c>
      <c r="K267" s="6">
        <v>18</v>
      </c>
    </row>
    <row r="268" spans="1:11" ht="13" x14ac:dyDescent="0.15">
      <c r="A268" s="5">
        <v>46032.541666666664</v>
      </c>
      <c r="B268" s="1" t="s">
        <v>2</v>
      </c>
      <c r="C268" s="1" t="s">
        <v>42</v>
      </c>
      <c r="D268" s="1">
        <v>2.02</v>
      </c>
      <c r="E268" s="1">
        <v>1.82</v>
      </c>
      <c r="F268" s="1">
        <v>1.5</v>
      </c>
      <c r="G268" s="1">
        <v>1.91</v>
      </c>
      <c r="H268" s="1">
        <v>-1.5</v>
      </c>
      <c r="I268" s="1">
        <v>1.91</v>
      </c>
      <c r="J268" s="5">
        <v>46273.476388888892</v>
      </c>
      <c r="K268" s="6">
        <v>18</v>
      </c>
    </row>
    <row r="269" spans="1:11" ht="13" x14ac:dyDescent="0.15">
      <c r="A269" s="5">
        <v>46032.541666666664</v>
      </c>
      <c r="B269" s="1" t="s">
        <v>22</v>
      </c>
      <c r="C269" s="1" t="s">
        <v>50</v>
      </c>
      <c r="D269" s="1">
        <v>2.14</v>
      </c>
      <c r="E269" s="1">
        <v>1.74</v>
      </c>
      <c r="F269" s="1">
        <v>2.5</v>
      </c>
      <c r="G269" s="1">
        <v>1.91</v>
      </c>
      <c r="H269" s="1">
        <v>-2.5</v>
      </c>
      <c r="I269" s="1">
        <v>1.91</v>
      </c>
      <c r="J269" s="5">
        <v>46273.476388888892</v>
      </c>
      <c r="K269" s="6">
        <v>18</v>
      </c>
    </row>
    <row r="270" spans="1:11" ht="13" x14ac:dyDescent="0.15">
      <c r="A270" s="5">
        <v>46032.541666666664</v>
      </c>
      <c r="B270" s="1" t="s">
        <v>66</v>
      </c>
      <c r="C270" s="1" t="s">
        <v>52</v>
      </c>
      <c r="D270" s="1">
        <v>3.4</v>
      </c>
      <c r="E270" s="1">
        <v>1.34</v>
      </c>
      <c r="F270" s="1">
        <v>7</v>
      </c>
      <c r="G270" s="1">
        <v>1.91</v>
      </c>
      <c r="H270" s="1">
        <v>-7</v>
      </c>
      <c r="I270" s="1">
        <v>1.91</v>
      </c>
      <c r="J270" s="5">
        <v>46273.476388888892</v>
      </c>
      <c r="K270" s="6">
        <v>18</v>
      </c>
    </row>
    <row r="271" spans="1:11" ht="13" x14ac:dyDescent="0.15">
      <c r="A271" s="5">
        <v>46032.541666666664</v>
      </c>
      <c r="B271" s="1" t="s">
        <v>12</v>
      </c>
      <c r="C271" s="1" t="s">
        <v>45</v>
      </c>
      <c r="D271" s="1">
        <v>2.0499999999999998</v>
      </c>
      <c r="E271" s="1">
        <v>1.8</v>
      </c>
      <c r="F271" s="1">
        <v>1.5</v>
      </c>
      <c r="G271" s="1">
        <v>1.91</v>
      </c>
      <c r="H271" s="1">
        <v>-1.5</v>
      </c>
      <c r="I271" s="1">
        <v>1.91</v>
      </c>
      <c r="J271" s="5">
        <v>46273.476388888892</v>
      </c>
      <c r="K271" s="6">
        <v>18</v>
      </c>
    </row>
    <row r="272" spans="1:11" ht="13" x14ac:dyDescent="0.15">
      <c r="A272" s="5">
        <v>46032.541666666664</v>
      </c>
      <c r="B272" s="1" t="s">
        <v>18</v>
      </c>
      <c r="C272" s="1" t="s">
        <v>46</v>
      </c>
      <c r="D272" s="1">
        <v>4.0999999999999996</v>
      </c>
      <c r="E272" s="1">
        <v>1.25</v>
      </c>
      <c r="F272" s="1">
        <v>8.5</v>
      </c>
      <c r="G272" s="1">
        <v>1.91</v>
      </c>
      <c r="H272" s="1">
        <v>-8.5</v>
      </c>
      <c r="I272" s="1">
        <v>1.91</v>
      </c>
      <c r="J272" s="5">
        <v>46273.476388888892</v>
      </c>
      <c r="K272" s="6">
        <v>18</v>
      </c>
    </row>
    <row r="273" spans="1:11" ht="13" x14ac:dyDescent="0.15">
      <c r="A273" s="5">
        <v>46032.541666666664</v>
      </c>
      <c r="B273" s="1" t="s">
        <v>70</v>
      </c>
      <c r="C273" s="1" t="s">
        <v>40</v>
      </c>
      <c r="D273" s="1">
        <v>5.25</v>
      </c>
      <c r="E273" s="1">
        <v>1.17</v>
      </c>
      <c r="F273" s="1">
        <v>10.5</v>
      </c>
      <c r="G273" s="1">
        <v>1.91</v>
      </c>
      <c r="H273" s="1">
        <v>-10.5</v>
      </c>
      <c r="I273" s="1">
        <v>1.91</v>
      </c>
      <c r="J273" s="5">
        <v>46273.476388888892</v>
      </c>
      <c r="K273" s="6">
        <v>18</v>
      </c>
    </row>
    <row r="274" spans="1:11" ht="13" x14ac:dyDescent="0.15">
      <c r="A274" s="5">
        <v>46032.541666666664</v>
      </c>
      <c r="B274" s="1" t="s">
        <v>61</v>
      </c>
      <c r="C274" s="1" t="s">
        <v>63</v>
      </c>
      <c r="D274" s="1">
        <v>1.82</v>
      </c>
      <c r="E274" s="1">
        <v>2.02</v>
      </c>
      <c r="F274" s="1">
        <v>-1.5</v>
      </c>
      <c r="G274" s="1">
        <v>1.91</v>
      </c>
      <c r="H274" s="1">
        <v>1.5</v>
      </c>
      <c r="I274" s="1">
        <v>1.91</v>
      </c>
      <c r="J274" s="5">
        <v>46273.476388888892</v>
      </c>
      <c r="K274" s="6">
        <v>18</v>
      </c>
    </row>
    <row r="275" spans="1:11" ht="13" x14ac:dyDescent="0.15">
      <c r="A275" s="5">
        <v>46032.541666666664</v>
      </c>
      <c r="B275" s="1" t="s">
        <v>48</v>
      </c>
      <c r="C275" s="1" t="s">
        <v>60</v>
      </c>
      <c r="D275" s="1">
        <v>1.65</v>
      </c>
      <c r="E275" s="1">
        <v>2.2999999999999998</v>
      </c>
      <c r="F275" s="1">
        <v>-3</v>
      </c>
      <c r="G275" s="1">
        <v>1.91</v>
      </c>
      <c r="H275" s="1">
        <v>3</v>
      </c>
      <c r="I275" s="1">
        <v>1.91</v>
      </c>
      <c r="J275" s="5">
        <v>46273.476388888892</v>
      </c>
      <c r="K275" s="6">
        <v>18</v>
      </c>
    </row>
    <row r="276" spans="1:11" ht="13" x14ac:dyDescent="0.15">
      <c r="A276" s="5">
        <v>46032.670138888891</v>
      </c>
      <c r="B276" s="1" t="s">
        <v>34</v>
      </c>
      <c r="C276" s="1" t="s">
        <v>69</v>
      </c>
      <c r="D276" s="1">
        <v>1.24</v>
      </c>
      <c r="E276" s="1">
        <v>4.2</v>
      </c>
      <c r="F276" s="1">
        <v>-8.5</v>
      </c>
      <c r="G276" s="1">
        <v>1.91</v>
      </c>
      <c r="H276" s="1">
        <v>8.5</v>
      </c>
      <c r="I276" s="1">
        <v>1.91</v>
      </c>
      <c r="J276" s="5">
        <v>46273.476388888892</v>
      </c>
      <c r="K276" s="6">
        <v>18</v>
      </c>
    </row>
    <row r="277" spans="1:11" ht="13" x14ac:dyDescent="0.15">
      <c r="A277" s="5">
        <v>46032.670138888891</v>
      </c>
      <c r="B277" s="1" t="s">
        <v>44</v>
      </c>
      <c r="C277" s="1" t="s">
        <v>41</v>
      </c>
      <c r="D277" s="1">
        <v>2.2999999999999998</v>
      </c>
      <c r="E277" s="1">
        <v>1.65</v>
      </c>
      <c r="F277" s="1">
        <v>3</v>
      </c>
      <c r="G277" s="1">
        <v>1.91</v>
      </c>
      <c r="H277" s="1">
        <v>-3</v>
      </c>
      <c r="I277" s="1">
        <v>1.91</v>
      </c>
      <c r="J277" s="5">
        <v>46273.476388888892</v>
      </c>
      <c r="K277" s="6">
        <v>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D33"/>
  <sheetViews>
    <sheetView workbookViewId="0"/>
  </sheetViews>
  <sheetFormatPr baseColWidth="10" defaultColWidth="12.6640625" defaultRowHeight="15.75" customHeight="1" x14ac:dyDescent="0.15"/>
  <cols>
    <col min="2" max="2" width="17.5" customWidth="1"/>
  </cols>
  <sheetData>
    <row r="1" spans="1:4" ht="15.75" customHeight="1" x14ac:dyDescent="0.15">
      <c r="A1" s="1" t="s">
        <v>98</v>
      </c>
    </row>
    <row r="2" spans="1:4" ht="15.75" customHeight="1" x14ac:dyDescent="0.15">
      <c r="A2" s="2" t="s">
        <v>1</v>
      </c>
    </row>
    <row r="3" spans="1:4" x14ac:dyDescent="0.2">
      <c r="A3" s="3" t="s">
        <v>12</v>
      </c>
      <c r="B3" s="4">
        <v>0.77617328519855588</v>
      </c>
    </row>
    <row r="5" spans="1:4" ht="15.75" customHeight="1" x14ac:dyDescent="0.15">
      <c r="A5" s="2" t="s">
        <v>4</v>
      </c>
    </row>
    <row r="6" spans="1:4" ht="15.75" customHeight="1" x14ac:dyDescent="0.15">
      <c r="A6" s="2" t="s">
        <v>5</v>
      </c>
      <c r="B6" s="2" t="s">
        <v>7</v>
      </c>
      <c r="C6" s="2" t="s">
        <v>8</v>
      </c>
    </row>
    <row r="7" spans="1:4" ht="15.75" customHeight="1" x14ac:dyDescent="0.15">
      <c r="A7" s="1" t="s">
        <v>2</v>
      </c>
      <c r="B7" s="4">
        <v>0.79999999999999993</v>
      </c>
      <c r="C7" s="4">
        <v>0.56280834914611</v>
      </c>
    </row>
    <row r="8" spans="1:4" ht="15.75" customHeight="1" x14ac:dyDescent="0.15">
      <c r="A8" s="1" t="s">
        <v>12</v>
      </c>
      <c r="B8" s="4">
        <v>0.77617328519855588</v>
      </c>
      <c r="C8" s="4">
        <v>0.49003795066413663</v>
      </c>
    </row>
    <row r="9" spans="1:4" ht="15.75" customHeight="1" x14ac:dyDescent="0.15">
      <c r="A9" s="1" t="s">
        <v>22</v>
      </c>
      <c r="B9" s="4">
        <v>0.72175732217573219</v>
      </c>
      <c r="C9" s="4">
        <v>0.60142314990512336</v>
      </c>
    </row>
    <row r="10" spans="1:4" ht="15.75" customHeight="1" x14ac:dyDescent="0.15">
      <c r="A10" s="1" t="s">
        <v>47</v>
      </c>
      <c r="B10" s="4">
        <v>0.63614457831325311</v>
      </c>
      <c r="C10" s="4">
        <v>0.60597722960151801</v>
      </c>
    </row>
    <row r="11" spans="1:4" ht="15.75" customHeight="1" x14ac:dyDescent="0.15">
      <c r="A11" s="1" t="s">
        <v>18</v>
      </c>
      <c r="B11" s="4">
        <v>0.62254901960784315</v>
      </c>
      <c r="C11" s="4">
        <v>0.31499051233396586</v>
      </c>
    </row>
    <row r="14" spans="1:4" ht="15.75" customHeight="1" x14ac:dyDescent="0.15">
      <c r="A14" s="2" t="s">
        <v>25</v>
      </c>
    </row>
    <row r="15" spans="1:4" ht="15.75" customHeight="1" x14ac:dyDescent="0.15">
      <c r="A15" s="2" t="s">
        <v>27</v>
      </c>
      <c r="B15" s="2" t="s">
        <v>29</v>
      </c>
      <c r="C15" s="2" t="s">
        <v>7</v>
      </c>
      <c r="D15" s="2" t="s">
        <v>8</v>
      </c>
    </row>
    <row r="16" spans="1:4" ht="15.75" customHeight="1" x14ac:dyDescent="0.15">
      <c r="A16" s="1">
        <v>1</v>
      </c>
      <c r="B16" s="1" t="s">
        <v>12</v>
      </c>
      <c r="C16" s="4">
        <v>0.77617328519855588</v>
      </c>
      <c r="D16" s="4">
        <v>0.49003795066413663</v>
      </c>
    </row>
    <row r="17" spans="1:4" ht="15.75" customHeight="1" x14ac:dyDescent="0.15">
      <c r="A17" s="1">
        <v>2</v>
      </c>
      <c r="B17" s="1" t="s">
        <v>34</v>
      </c>
      <c r="C17" s="4">
        <v>0.83687943262411346</v>
      </c>
      <c r="D17" s="4">
        <v>0.55370018975332069</v>
      </c>
    </row>
    <row r="18" spans="1:4" ht="15.75" customHeight="1" x14ac:dyDescent="0.15">
      <c r="A18" s="1">
        <v>3</v>
      </c>
      <c r="B18" s="1" t="s">
        <v>46</v>
      </c>
      <c r="C18" s="4">
        <v>0.78152753108348139</v>
      </c>
      <c r="D18" s="4">
        <v>0.61736242884250481</v>
      </c>
    </row>
    <row r="19" spans="1:4" ht="15.75" customHeight="1" x14ac:dyDescent="0.15">
      <c r="A19" s="1">
        <v>4</v>
      </c>
      <c r="B19" s="1" t="s">
        <v>37</v>
      </c>
      <c r="C19" s="4">
        <v>0.7720588235294118</v>
      </c>
      <c r="D19" s="4">
        <v>0.48548387096774193</v>
      </c>
    </row>
    <row r="20" spans="1:4" ht="15.75" customHeight="1" x14ac:dyDescent="0.15">
      <c r="A20" s="1">
        <v>5</v>
      </c>
      <c r="B20" s="1" t="s">
        <v>22</v>
      </c>
      <c r="C20" s="4">
        <v>0.76635514018691586</v>
      </c>
      <c r="D20" s="4">
        <v>0.60142314990512336</v>
      </c>
    </row>
    <row r="21" spans="1:4" ht="15.75" customHeight="1" x14ac:dyDescent="0.15">
      <c r="A21" s="1">
        <v>6</v>
      </c>
      <c r="B21" s="1" t="s">
        <v>41</v>
      </c>
      <c r="C21" s="4">
        <v>0.76666666666666672</v>
      </c>
      <c r="D21" s="4">
        <v>0.67647058823529416</v>
      </c>
    </row>
    <row r="22" spans="1:4" ht="15.75" customHeight="1" x14ac:dyDescent="0.15">
      <c r="A22" s="1">
        <v>7</v>
      </c>
      <c r="B22" s="1" t="s">
        <v>42</v>
      </c>
      <c r="C22" s="4">
        <v>0.75048732943469787</v>
      </c>
      <c r="D22" s="4">
        <v>0.54686907020872866</v>
      </c>
    </row>
    <row r="23" spans="1:4" ht="15.75" customHeight="1" x14ac:dyDescent="0.15">
      <c r="A23" s="1">
        <v>8</v>
      </c>
      <c r="B23" s="1" t="s">
        <v>43</v>
      </c>
      <c r="C23" s="4">
        <v>0.81210191082802541</v>
      </c>
      <c r="D23" s="4">
        <v>0.54231499051233389</v>
      </c>
    </row>
    <row r="24" spans="1:4" ht="15.75" customHeight="1" x14ac:dyDescent="0.15">
      <c r="A24" s="1">
        <v>9</v>
      </c>
      <c r="B24" s="1" t="s">
        <v>44</v>
      </c>
      <c r="C24" s="4">
        <v>0.85768742058449809</v>
      </c>
      <c r="D24" s="4">
        <v>0.61963946869070208</v>
      </c>
    </row>
    <row r="25" spans="1:4" ht="15.75" customHeight="1" x14ac:dyDescent="0.15">
      <c r="A25" s="1">
        <v>10</v>
      </c>
      <c r="B25" s="1" t="s">
        <v>45</v>
      </c>
      <c r="C25" s="4">
        <v>0.72614107883817425</v>
      </c>
      <c r="D25" s="4">
        <v>0.4286527514231499</v>
      </c>
    </row>
    <row r="26" spans="1:4" ht="15.75" customHeight="1" x14ac:dyDescent="0.15">
      <c r="A26" s="1">
        <v>11</v>
      </c>
      <c r="B26" s="1" t="s">
        <v>2</v>
      </c>
      <c r="C26" s="4">
        <v>0.77617328519855588</v>
      </c>
      <c r="D26" s="4">
        <v>0.56280834914611</v>
      </c>
    </row>
    <row r="27" spans="1:4" ht="15.75" customHeight="1" x14ac:dyDescent="0.15">
      <c r="A27" s="1">
        <v>12</v>
      </c>
      <c r="B27" s="1" t="s">
        <v>47</v>
      </c>
      <c r="C27" s="4">
        <v>0.7142857142857143</v>
      </c>
      <c r="D27" s="4">
        <v>0.60597722960151801</v>
      </c>
    </row>
    <row r="28" spans="1:4" ht="15.75" customHeight="1" x14ac:dyDescent="0.15">
      <c r="A28" s="1">
        <v>13</v>
      </c>
      <c r="B28" s="1" t="s">
        <v>48</v>
      </c>
      <c r="C28" s="4">
        <v>0.76635514018691586</v>
      </c>
      <c r="D28" s="4">
        <v>0.61508538899430742</v>
      </c>
    </row>
    <row r="29" spans="1:4" ht="15.75" customHeight="1" x14ac:dyDescent="0.15">
      <c r="A29" s="1">
        <v>14</v>
      </c>
      <c r="B29" s="1" t="s">
        <v>49</v>
      </c>
      <c r="C29" s="4">
        <v>0.6802721088435375</v>
      </c>
      <c r="D29" s="4">
        <v>0.54459203036053128</v>
      </c>
    </row>
    <row r="30" spans="1:4" ht="15.75" customHeight="1" x14ac:dyDescent="0.15">
      <c r="A30" s="1">
        <v>15</v>
      </c>
      <c r="B30" s="1" t="s">
        <v>50</v>
      </c>
      <c r="C30" s="4">
        <v>0.83211678832116798</v>
      </c>
      <c r="D30" s="4">
        <v>0.54914611005692593</v>
      </c>
    </row>
    <row r="31" spans="1:4" ht="15.75" customHeight="1" x14ac:dyDescent="0.15">
      <c r="A31" s="1">
        <v>16</v>
      </c>
      <c r="B31" s="1" t="s">
        <v>15</v>
      </c>
      <c r="C31" s="4">
        <v>0.77617328519855588</v>
      </c>
      <c r="D31" s="4">
        <v>0.6719165085388995</v>
      </c>
    </row>
    <row r="32" spans="1:4" ht="15.75" customHeight="1" x14ac:dyDescent="0.15">
      <c r="A32" s="1">
        <v>17</v>
      </c>
      <c r="B32" s="1" t="s">
        <v>51</v>
      </c>
      <c r="C32" s="4">
        <v>0.76045627376425851</v>
      </c>
      <c r="D32" s="4">
        <v>0.62419354838709684</v>
      </c>
    </row>
    <row r="33" spans="1:4" ht="15.75" customHeight="1" x14ac:dyDescent="0.15">
      <c r="A33" s="1">
        <v>18</v>
      </c>
      <c r="B33" s="1" t="s">
        <v>40</v>
      </c>
      <c r="C33" s="4">
        <v>0.81775700934579443</v>
      </c>
      <c r="D33" s="4">
        <v>0.61053130929791277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J33"/>
  <sheetViews>
    <sheetView workbookViewId="0"/>
  </sheetViews>
  <sheetFormatPr baseColWidth="10" defaultColWidth="12.6640625" defaultRowHeight="15.75" customHeight="1" x14ac:dyDescent="0.15"/>
  <cols>
    <col min="10" max="10" width="17.1640625" customWidth="1"/>
  </cols>
  <sheetData>
    <row r="1" spans="1:10" ht="15.75" customHeight="1" x14ac:dyDescent="0.15">
      <c r="A1" s="1" t="s">
        <v>88</v>
      </c>
      <c r="B1" s="1" t="s">
        <v>89</v>
      </c>
      <c r="C1" s="1" t="s">
        <v>85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58</v>
      </c>
    </row>
    <row r="2" spans="1:10" ht="15.75" customHeight="1" x14ac:dyDescent="0.15">
      <c r="A2" s="5">
        <v>46282.84375</v>
      </c>
      <c r="B2" s="1" t="s">
        <v>22</v>
      </c>
      <c r="C2" s="1" t="s">
        <v>51</v>
      </c>
      <c r="D2" s="1">
        <v>3.05</v>
      </c>
      <c r="E2" s="1">
        <v>1.4</v>
      </c>
      <c r="F2" s="1">
        <v>5.5</v>
      </c>
      <c r="G2" s="1">
        <v>1.91</v>
      </c>
      <c r="H2" s="1">
        <v>-5.5</v>
      </c>
      <c r="I2" s="1">
        <v>1.91</v>
      </c>
      <c r="J2" s="5">
        <v>46282.683333333334</v>
      </c>
    </row>
    <row r="3" spans="1:10" ht="15.75" customHeight="1" x14ac:dyDescent="0.15">
      <c r="A3" s="5">
        <v>46285.541666666664</v>
      </c>
      <c r="B3" s="1" t="s">
        <v>64</v>
      </c>
      <c r="C3" s="1" t="s">
        <v>65</v>
      </c>
      <c r="D3" s="1">
        <v>1.65</v>
      </c>
      <c r="E3" s="1">
        <v>2.2999999999999998</v>
      </c>
      <c r="F3" s="1">
        <v>-2.5</v>
      </c>
      <c r="G3" s="1">
        <v>1.85</v>
      </c>
      <c r="H3" s="1">
        <v>2.5</v>
      </c>
      <c r="I3" s="1">
        <v>1.98</v>
      </c>
      <c r="J3" s="5">
        <v>46282.683333333334</v>
      </c>
    </row>
    <row r="4" spans="1:10" ht="15.75" customHeight="1" x14ac:dyDescent="0.15">
      <c r="A4" s="5">
        <v>46285.541666666664</v>
      </c>
      <c r="B4" s="1" t="s">
        <v>63</v>
      </c>
      <c r="C4" s="1" t="s">
        <v>15</v>
      </c>
      <c r="D4" s="1">
        <v>4</v>
      </c>
      <c r="E4" s="1">
        <v>1.26</v>
      </c>
      <c r="F4" s="1">
        <v>8.5</v>
      </c>
      <c r="G4" s="1">
        <v>1.87</v>
      </c>
      <c r="H4" s="1">
        <v>-8.5</v>
      </c>
      <c r="I4" s="1">
        <v>1.95</v>
      </c>
      <c r="J4" s="5">
        <v>46282.683333333334</v>
      </c>
    </row>
    <row r="5" spans="1:10" ht="15.75" customHeight="1" x14ac:dyDescent="0.15">
      <c r="A5" s="5">
        <v>46285.541666666664</v>
      </c>
      <c r="B5" s="1" t="s">
        <v>37</v>
      </c>
      <c r="C5" s="1" t="s">
        <v>49</v>
      </c>
      <c r="D5" s="1">
        <v>2.64</v>
      </c>
      <c r="E5" s="1">
        <v>1.51</v>
      </c>
      <c r="F5" s="1">
        <v>4.5</v>
      </c>
      <c r="G5" s="1">
        <v>1.89</v>
      </c>
      <c r="H5" s="1">
        <v>-4.5</v>
      </c>
      <c r="I5" s="1">
        <v>1.93</v>
      </c>
      <c r="J5" s="5">
        <v>46282.683333333334</v>
      </c>
    </row>
    <row r="6" spans="1:10" ht="15.75" customHeight="1" x14ac:dyDescent="0.15">
      <c r="A6" s="5">
        <v>46285.541666666664</v>
      </c>
      <c r="B6" s="1" t="s">
        <v>47</v>
      </c>
      <c r="C6" s="1" t="s">
        <v>52</v>
      </c>
      <c r="D6" s="1">
        <v>2.2000000000000002</v>
      </c>
      <c r="E6" s="1">
        <v>1.7</v>
      </c>
      <c r="F6" s="1">
        <v>2.5</v>
      </c>
      <c r="G6" s="1">
        <v>1.98</v>
      </c>
      <c r="H6" s="1">
        <v>-2.5</v>
      </c>
      <c r="I6" s="1">
        <v>1.85</v>
      </c>
      <c r="J6" s="5">
        <v>46282.683333333334</v>
      </c>
    </row>
    <row r="7" spans="1:10" ht="15.75" customHeight="1" x14ac:dyDescent="0.15">
      <c r="A7" s="5">
        <v>46285.541666666664</v>
      </c>
      <c r="B7" s="1" t="s">
        <v>68</v>
      </c>
      <c r="C7" s="1" t="s">
        <v>61</v>
      </c>
      <c r="D7" s="1">
        <v>4.5</v>
      </c>
      <c r="E7" s="1">
        <v>1.22</v>
      </c>
      <c r="F7" s="1">
        <v>8.5</v>
      </c>
      <c r="G7" s="1">
        <v>1.89</v>
      </c>
      <c r="H7" s="1">
        <v>-8.5</v>
      </c>
      <c r="I7" s="1">
        <v>1.93</v>
      </c>
      <c r="J7" s="5">
        <v>46282.683333333334</v>
      </c>
    </row>
    <row r="8" spans="1:10" ht="15.75" customHeight="1" x14ac:dyDescent="0.15">
      <c r="A8" s="5">
        <v>46285.541666666664</v>
      </c>
      <c r="B8" s="1" t="s">
        <v>50</v>
      </c>
      <c r="C8" s="1" t="s">
        <v>67</v>
      </c>
      <c r="D8" s="1">
        <v>1.52</v>
      </c>
      <c r="E8" s="1">
        <v>2.6</v>
      </c>
      <c r="F8" s="1">
        <v>-3.5</v>
      </c>
      <c r="G8" s="1">
        <v>1.89</v>
      </c>
      <c r="H8" s="1">
        <v>3.5</v>
      </c>
      <c r="I8" s="1">
        <v>1.93</v>
      </c>
      <c r="J8" s="5">
        <v>46282.683333333334</v>
      </c>
    </row>
    <row r="9" spans="1:10" ht="15.75" customHeight="1" x14ac:dyDescent="0.15">
      <c r="A9" s="5">
        <v>46285.541666666664</v>
      </c>
      <c r="B9" s="1" t="s">
        <v>59</v>
      </c>
      <c r="C9" s="1" t="s">
        <v>40</v>
      </c>
      <c r="D9" s="1">
        <v>2.8</v>
      </c>
      <c r="E9" s="1">
        <v>1.46</v>
      </c>
      <c r="F9" s="1">
        <v>5.5</v>
      </c>
      <c r="G9" s="1">
        <v>1.87</v>
      </c>
      <c r="H9" s="1">
        <v>-5.5</v>
      </c>
      <c r="I9" s="1">
        <v>1.95</v>
      </c>
      <c r="J9" s="5">
        <v>46282.683333333334</v>
      </c>
    </row>
    <row r="10" spans="1:10" ht="15.75" customHeight="1" x14ac:dyDescent="0.15">
      <c r="A10" s="5">
        <v>46285.541666666664</v>
      </c>
      <c r="B10" s="1" t="s">
        <v>48</v>
      </c>
      <c r="C10" s="1" t="s">
        <v>66</v>
      </c>
      <c r="D10" s="1">
        <v>1.32</v>
      </c>
      <c r="E10" s="1">
        <v>3.5</v>
      </c>
      <c r="F10" s="1">
        <v>-7</v>
      </c>
      <c r="G10" s="1">
        <v>1.91</v>
      </c>
      <c r="H10" s="1">
        <v>7</v>
      </c>
      <c r="I10" s="1">
        <v>1.91</v>
      </c>
      <c r="J10" s="5">
        <v>46282.683333333334</v>
      </c>
    </row>
    <row r="11" spans="1:10" ht="15.75" customHeight="1" x14ac:dyDescent="0.15">
      <c r="A11" s="5">
        <v>46285.670138888891</v>
      </c>
      <c r="B11" s="1" t="s">
        <v>12</v>
      </c>
      <c r="C11" s="1" t="s">
        <v>42</v>
      </c>
      <c r="D11" s="1">
        <v>2.2400000000000002</v>
      </c>
      <c r="E11" s="1">
        <v>1.68</v>
      </c>
      <c r="F11" s="1">
        <v>2.5</v>
      </c>
      <c r="G11" s="1">
        <v>1.98</v>
      </c>
      <c r="H11" s="1">
        <v>-2.5</v>
      </c>
      <c r="I11" s="1">
        <v>1.85</v>
      </c>
      <c r="J11" s="5">
        <v>46282.683333333334</v>
      </c>
    </row>
    <row r="12" spans="1:10" ht="15.75" customHeight="1" x14ac:dyDescent="0.15">
      <c r="A12" s="5">
        <v>46285.670138888891</v>
      </c>
      <c r="B12" s="1" t="s">
        <v>18</v>
      </c>
      <c r="C12" s="1" t="s">
        <v>2</v>
      </c>
      <c r="D12" s="1">
        <v>3.45</v>
      </c>
      <c r="E12" s="1">
        <v>1.33</v>
      </c>
      <c r="F12" s="1">
        <v>6.5</v>
      </c>
      <c r="G12" s="1">
        <v>1.98</v>
      </c>
      <c r="H12" s="1">
        <v>-6.5</v>
      </c>
      <c r="I12" s="1">
        <v>1.85</v>
      </c>
      <c r="J12" s="5">
        <v>46282.683333333334</v>
      </c>
    </row>
    <row r="13" spans="1:10" ht="15.75" customHeight="1" x14ac:dyDescent="0.15">
      <c r="A13" s="5">
        <v>46285.684027777781</v>
      </c>
      <c r="B13" s="1" t="s">
        <v>44</v>
      </c>
      <c r="C13" s="1" t="s">
        <v>69</v>
      </c>
      <c r="D13" s="1">
        <v>1.44</v>
      </c>
      <c r="E13" s="1">
        <v>2.85</v>
      </c>
      <c r="F13" s="1">
        <v>-3.5</v>
      </c>
      <c r="G13" s="1">
        <v>1.83</v>
      </c>
      <c r="H13" s="1">
        <v>3.5</v>
      </c>
      <c r="I13" s="1">
        <v>2</v>
      </c>
      <c r="J13" s="5">
        <v>46282.683333333334</v>
      </c>
    </row>
    <row r="14" spans="1:10" ht="15.75" customHeight="1" x14ac:dyDescent="0.15">
      <c r="A14" s="5">
        <v>46285.684027777781</v>
      </c>
      <c r="B14" s="1" t="s">
        <v>62</v>
      </c>
      <c r="C14" s="1" t="s">
        <v>43</v>
      </c>
      <c r="D14" s="1">
        <v>2.8</v>
      </c>
      <c r="E14" s="1">
        <v>1.46</v>
      </c>
      <c r="F14" s="1">
        <v>4.5</v>
      </c>
      <c r="G14" s="1">
        <v>1.87</v>
      </c>
      <c r="H14" s="1">
        <v>-4.5</v>
      </c>
      <c r="I14" s="1">
        <v>1.95</v>
      </c>
      <c r="J14" s="5">
        <v>46282.683333333334</v>
      </c>
    </row>
    <row r="15" spans="1:10" ht="15.75" customHeight="1" x14ac:dyDescent="0.15">
      <c r="A15" s="5">
        <v>46285.684027777781</v>
      </c>
      <c r="B15" s="1" t="s">
        <v>70</v>
      </c>
      <c r="C15" s="1" t="s">
        <v>34</v>
      </c>
      <c r="D15" s="1">
        <v>7</v>
      </c>
      <c r="E15" s="1">
        <v>1.1100000000000001</v>
      </c>
      <c r="F15" s="1">
        <v>13.5</v>
      </c>
      <c r="G15" s="1">
        <v>1.87</v>
      </c>
      <c r="H15" s="1">
        <v>-13.5</v>
      </c>
      <c r="I15" s="1">
        <v>1.95</v>
      </c>
      <c r="J15" s="5">
        <v>46282.683333333334</v>
      </c>
    </row>
    <row r="16" spans="1:10" ht="15.75" customHeight="1" x14ac:dyDescent="0.15">
      <c r="A16" s="5">
        <v>46285.847222222219</v>
      </c>
      <c r="B16" s="1" t="s">
        <v>45</v>
      </c>
      <c r="C16" s="1" t="s">
        <v>46</v>
      </c>
      <c r="D16" s="1">
        <v>3.35</v>
      </c>
      <c r="E16" s="1">
        <v>1.34</v>
      </c>
      <c r="F16" s="1">
        <v>6.5</v>
      </c>
      <c r="G16" s="1">
        <v>2</v>
      </c>
      <c r="H16" s="1">
        <v>-6.5</v>
      </c>
      <c r="I16" s="1">
        <v>1.83</v>
      </c>
      <c r="J16" s="5">
        <v>46282.683333333334</v>
      </c>
    </row>
    <row r="17" spans="1:10" ht="15.75" customHeight="1" x14ac:dyDescent="0.15">
      <c r="A17" s="5">
        <v>46286.84375</v>
      </c>
      <c r="B17" s="1" t="s">
        <v>60</v>
      </c>
      <c r="C17" s="1" t="s">
        <v>41</v>
      </c>
      <c r="D17" s="1">
        <v>3.85</v>
      </c>
      <c r="E17" s="1">
        <v>1.28</v>
      </c>
      <c r="F17" s="1">
        <v>7</v>
      </c>
      <c r="G17" s="1">
        <v>1.98</v>
      </c>
      <c r="H17" s="1">
        <v>-7</v>
      </c>
      <c r="I17" s="1">
        <v>1.85</v>
      </c>
      <c r="J17" s="5">
        <v>46282.683333333334</v>
      </c>
    </row>
    <row r="18" spans="1:10" ht="15.75" customHeight="1" x14ac:dyDescent="0.15">
      <c r="A18" s="5">
        <v>46289.84375</v>
      </c>
      <c r="B18" s="1" t="s">
        <v>65</v>
      </c>
      <c r="C18" s="1" t="s">
        <v>50</v>
      </c>
      <c r="D18" s="1">
        <v>3.5</v>
      </c>
      <c r="E18" s="1">
        <v>1.32</v>
      </c>
      <c r="F18" s="1">
        <v>6.5</v>
      </c>
      <c r="G18" s="1">
        <v>1.95</v>
      </c>
      <c r="H18" s="1">
        <v>-6.5</v>
      </c>
      <c r="I18" s="1">
        <v>1.87</v>
      </c>
      <c r="J18" s="5">
        <v>46282.683333333334</v>
      </c>
    </row>
    <row r="19" spans="1:10" ht="15.75" customHeight="1" x14ac:dyDescent="0.15">
      <c r="A19" s="5">
        <v>46292.541666666664</v>
      </c>
      <c r="B19" s="1" t="s">
        <v>2</v>
      </c>
      <c r="C19" s="1" t="s">
        <v>51</v>
      </c>
      <c r="D19" s="1">
        <v>2.85</v>
      </c>
      <c r="E19" s="1">
        <v>1.44</v>
      </c>
      <c r="F19" s="1">
        <v>4.5</v>
      </c>
      <c r="G19" s="1">
        <v>1.91</v>
      </c>
      <c r="H19" s="1">
        <v>-4.5</v>
      </c>
      <c r="I19" s="1">
        <v>1.91</v>
      </c>
      <c r="J19" s="5">
        <v>46282.683333333334</v>
      </c>
    </row>
    <row r="20" spans="1:10" ht="15.75" customHeight="1" x14ac:dyDescent="0.15">
      <c r="A20" s="5">
        <v>46292.541666666664</v>
      </c>
      <c r="B20" s="1" t="s">
        <v>64</v>
      </c>
      <c r="C20" s="1" t="s">
        <v>68</v>
      </c>
      <c r="D20" s="1">
        <v>1.7</v>
      </c>
      <c r="E20" s="1">
        <v>2.2000000000000002</v>
      </c>
      <c r="F20" s="1">
        <v>-2.5</v>
      </c>
      <c r="G20" s="1">
        <v>1.87</v>
      </c>
      <c r="H20" s="1">
        <v>2.5</v>
      </c>
      <c r="I20" s="1">
        <v>1.95</v>
      </c>
      <c r="J20" s="5">
        <v>46282.683333333334</v>
      </c>
    </row>
    <row r="21" spans="1:10" ht="15.75" customHeight="1" x14ac:dyDescent="0.15">
      <c r="A21" s="5">
        <v>46292.541666666664</v>
      </c>
      <c r="B21" s="1" t="s">
        <v>47</v>
      </c>
      <c r="C21" s="1" t="s">
        <v>59</v>
      </c>
      <c r="D21" s="1">
        <v>1.74</v>
      </c>
      <c r="E21" s="1">
        <v>2.14</v>
      </c>
      <c r="F21" s="1">
        <v>-2.5</v>
      </c>
      <c r="G21" s="1">
        <v>1.91</v>
      </c>
      <c r="H21" s="1">
        <v>2.5</v>
      </c>
      <c r="I21" s="1">
        <v>1.91</v>
      </c>
      <c r="J21" s="5">
        <v>46282.683333333334</v>
      </c>
    </row>
    <row r="22" spans="1:10" ht="15.75" customHeight="1" x14ac:dyDescent="0.15">
      <c r="A22" s="5">
        <v>46292.541666666664</v>
      </c>
      <c r="B22" s="1" t="s">
        <v>67</v>
      </c>
      <c r="C22" s="1" t="s">
        <v>22</v>
      </c>
      <c r="D22" s="1">
        <v>3.75</v>
      </c>
      <c r="E22" s="1">
        <v>1.29</v>
      </c>
      <c r="F22" s="1">
        <v>7</v>
      </c>
      <c r="G22" s="1">
        <v>1.91</v>
      </c>
      <c r="H22" s="1">
        <v>-7</v>
      </c>
      <c r="I22" s="1">
        <v>1.91</v>
      </c>
      <c r="J22" s="5">
        <v>46282.683333333334</v>
      </c>
    </row>
    <row r="23" spans="1:10" ht="15.75" customHeight="1" x14ac:dyDescent="0.15">
      <c r="A23" s="5">
        <v>46292.541666666664</v>
      </c>
      <c r="B23" s="1" t="s">
        <v>52</v>
      </c>
      <c r="C23" s="1" t="s">
        <v>45</v>
      </c>
      <c r="D23" s="1">
        <v>1.74</v>
      </c>
      <c r="E23" s="1">
        <v>2.14</v>
      </c>
      <c r="F23" s="1">
        <v>-2.5</v>
      </c>
      <c r="G23" s="1">
        <v>1.91</v>
      </c>
      <c r="H23" s="1">
        <v>2.5</v>
      </c>
      <c r="I23" s="1">
        <v>1.91</v>
      </c>
      <c r="J23" s="5">
        <v>46282.683333333334</v>
      </c>
    </row>
    <row r="24" spans="1:10" ht="15.75" customHeight="1" x14ac:dyDescent="0.15">
      <c r="A24" s="5">
        <v>46292.541666666664</v>
      </c>
      <c r="B24" s="1" t="s">
        <v>40</v>
      </c>
      <c r="C24" s="1" t="s">
        <v>12</v>
      </c>
      <c r="D24" s="1">
        <v>2.14</v>
      </c>
      <c r="E24" s="1">
        <v>1.74</v>
      </c>
      <c r="F24" s="1">
        <v>2.5</v>
      </c>
      <c r="G24" s="1">
        <v>1.91</v>
      </c>
      <c r="H24" s="1">
        <v>-2.5</v>
      </c>
      <c r="I24" s="1">
        <v>1.91</v>
      </c>
      <c r="J24" s="5">
        <v>46282.683333333334</v>
      </c>
    </row>
    <row r="25" spans="1:10" ht="15.75" customHeight="1" x14ac:dyDescent="0.15">
      <c r="A25" s="5">
        <v>46292.541666666664</v>
      </c>
      <c r="B25" s="1" t="s">
        <v>46</v>
      </c>
      <c r="C25" s="1" t="s">
        <v>70</v>
      </c>
      <c r="D25" s="1">
        <v>1.22</v>
      </c>
      <c r="E25" s="1">
        <v>4.5</v>
      </c>
      <c r="F25" s="1">
        <v>-8.5</v>
      </c>
      <c r="G25" s="1">
        <v>1.91</v>
      </c>
      <c r="H25" s="1">
        <v>8.5</v>
      </c>
      <c r="I25" s="1">
        <v>1.91</v>
      </c>
      <c r="J25" s="5">
        <v>46282.683333333334</v>
      </c>
    </row>
    <row r="26" spans="1:10" ht="15.75" customHeight="1" x14ac:dyDescent="0.15">
      <c r="A26" s="5">
        <v>46292.541666666664</v>
      </c>
      <c r="B26" s="1" t="s">
        <v>66</v>
      </c>
      <c r="C26" s="1" t="s">
        <v>60</v>
      </c>
      <c r="D26" s="1">
        <v>3.05</v>
      </c>
      <c r="E26" s="1">
        <v>1.4</v>
      </c>
      <c r="F26" s="1">
        <v>5.5</v>
      </c>
      <c r="G26" s="1">
        <v>1.91</v>
      </c>
      <c r="H26" s="1">
        <v>-5.5</v>
      </c>
      <c r="I26" s="1">
        <v>1.91</v>
      </c>
      <c r="J26" s="5">
        <v>46282.683333333334</v>
      </c>
    </row>
    <row r="27" spans="1:10" ht="15.75" customHeight="1" x14ac:dyDescent="0.15">
      <c r="A27" s="5">
        <v>46292.541666666664</v>
      </c>
      <c r="B27" s="1" t="s">
        <v>44</v>
      </c>
      <c r="C27" s="1" t="s">
        <v>62</v>
      </c>
      <c r="D27" s="1">
        <v>1.74</v>
      </c>
      <c r="E27" s="1">
        <v>2.14</v>
      </c>
      <c r="F27" s="1">
        <v>-2.5</v>
      </c>
      <c r="G27" s="1">
        <v>1.91</v>
      </c>
      <c r="H27" s="1">
        <v>2.5</v>
      </c>
      <c r="I27" s="1">
        <v>1.91</v>
      </c>
      <c r="J27" s="5">
        <v>46282.683333333334</v>
      </c>
    </row>
    <row r="28" spans="1:10" ht="15.75" customHeight="1" x14ac:dyDescent="0.15">
      <c r="A28" s="5">
        <v>46292.670138888891</v>
      </c>
      <c r="B28" s="1" t="s">
        <v>69</v>
      </c>
      <c r="C28" s="1" t="s">
        <v>34</v>
      </c>
      <c r="D28" s="1">
        <v>4.7</v>
      </c>
      <c r="E28" s="1">
        <v>1.21</v>
      </c>
      <c r="F28" s="1">
        <v>8.5</v>
      </c>
      <c r="G28" s="1">
        <v>1.91</v>
      </c>
      <c r="H28" s="1">
        <v>-8.5</v>
      </c>
      <c r="I28" s="1">
        <v>1.91</v>
      </c>
      <c r="J28" s="5">
        <v>46282.683333333334</v>
      </c>
    </row>
    <row r="29" spans="1:10" ht="15.75" customHeight="1" x14ac:dyDescent="0.15">
      <c r="A29" s="5">
        <v>46292.670138888891</v>
      </c>
      <c r="B29" s="1" t="s">
        <v>37</v>
      </c>
      <c r="C29" s="1" t="s">
        <v>61</v>
      </c>
      <c r="D29" s="1">
        <v>2.0499999999999998</v>
      </c>
      <c r="E29" s="1">
        <v>1.8</v>
      </c>
      <c r="F29" s="1">
        <v>1.5</v>
      </c>
      <c r="G29" s="1">
        <v>1.91</v>
      </c>
      <c r="H29" s="1">
        <v>-1.5</v>
      </c>
      <c r="I29" s="1">
        <v>1.91</v>
      </c>
      <c r="J29" s="5">
        <v>46282.683333333334</v>
      </c>
    </row>
    <row r="30" spans="1:10" ht="15.75" customHeight="1" x14ac:dyDescent="0.15">
      <c r="A30" s="5">
        <v>46292.684027777781</v>
      </c>
      <c r="B30" s="1" t="s">
        <v>15</v>
      </c>
      <c r="C30" s="1" t="s">
        <v>43</v>
      </c>
      <c r="D30" s="1">
        <v>1.65</v>
      </c>
      <c r="E30" s="1">
        <v>2.2999999999999998</v>
      </c>
      <c r="F30" s="1">
        <v>-3</v>
      </c>
      <c r="G30" s="1">
        <v>1.91</v>
      </c>
      <c r="H30" s="1">
        <v>3</v>
      </c>
      <c r="I30" s="1">
        <v>1.91</v>
      </c>
      <c r="J30" s="5">
        <v>46282.683333333334</v>
      </c>
    </row>
    <row r="31" spans="1:10" ht="15.75" customHeight="1" x14ac:dyDescent="0.15">
      <c r="A31" s="5">
        <v>46292.684027777781</v>
      </c>
      <c r="B31" s="1" t="s">
        <v>18</v>
      </c>
      <c r="C31" s="1" t="s">
        <v>63</v>
      </c>
      <c r="D31" s="1">
        <v>2.36</v>
      </c>
      <c r="E31" s="1">
        <v>1.62</v>
      </c>
      <c r="F31" s="1">
        <v>3</v>
      </c>
      <c r="G31" s="1">
        <v>1.91</v>
      </c>
      <c r="H31" s="1">
        <v>-3</v>
      </c>
      <c r="I31" s="1">
        <v>1.91</v>
      </c>
      <c r="J31" s="5">
        <v>46282.683333333334</v>
      </c>
    </row>
    <row r="32" spans="1:10" ht="15.75" customHeight="1" x14ac:dyDescent="0.15">
      <c r="A32" s="5">
        <v>46292.847222222219</v>
      </c>
      <c r="B32" s="1" t="s">
        <v>41</v>
      </c>
      <c r="C32" s="1" t="s">
        <v>42</v>
      </c>
      <c r="D32" s="1">
        <v>1.74</v>
      </c>
      <c r="E32" s="1">
        <v>2.14</v>
      </c>
      <c r="F32" s="1">
        <v>-2.5</v>
      </c>
      <c r="G32" s="1">
        <v>1.91</v>
      </c>
      <c r="H32" s="1">
        <v>2.5</v>
      </c>
      <c r="I32" s="1">
        <v>1.91</v>
      </c>
      <c r="J32" s="5">
        <v>46282.683333333334</v>
      </c>
    </row>
    <row r="33" spans="1:10" ht="15.75" customHeight="1" x14ac:dyDescent="0.15">
      <c r="A33" s="5">
        <v>46293.84375</v>
      </c>
      <c r="B33" s="1" t="s">
        <v>48</v>
      </c>
      <c r="C33" s="1" t="s">
        <v>49</v>
      </c>
      <c r="D33" s="1">
        <v>1.98</v>
      </c>
      <c r="E33" s="1">
        <v>1.85</v>
      </c>
      <c r="F33" s="1">
        <v>1.5</v>
      </c>
      <c r="G33" s="1">
        <v>1.87</v>
      </c>
      <c r="H33" s="1">
        <v>-1.5</v>
      </c>
      <c r="I33" s="1">
        <v>1.95</v>
      </c>
      <c r="J33" s="5">
        <v>46282.683333333334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Recommendation</vt:lpstr>
      <vt:lpstr>Pool Data --&gt;</vt:lpstr>
      <vt:lpstr>Pools Picks</vt:lpstr>
      <vt:lpstr>Algorithm Inputs --&gt;</vt:lpstr>
      <vt:lpstr>Algorithm Game Lines</vt:lpstr>
      <vt:lpstr>Super Bowl Futures</vt:lpstr>
      <vt:lpstr>Preseason Win Totals</vt:lpstr>
      <vt:lpstr>ArchiveStorage --&gt;</vt:lpstr>
      <vt:lpstr>2026 Schedule</vt:lpstr>
      <vt:lpstr>Game Lines</vt:lpstr>
      <vt:lpstr>Week Lookup Table</vt:lpstr>
      <vt:lpstr>Preserved Week 1 Full Season Li</vt:lpstr>
      <vt:lpstr>Run #1 Output</vt:lpstr>
      <vt:lpstr>Preserved Week 2 Line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Blanchard</cp:lastModifiedBy>
  <dcterms:modified xsi:type="dcterms:W3CDTF">2026-09-24T03:25:48Z</dcterms:modified>
</cp:coreProperties>
</file>